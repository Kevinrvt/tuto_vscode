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dificio 1" sheetId="2" state="visible" r:id="rId2"/>
    <sheet name="Edificio 2" sheetId="3" state="visible" r:id="rId3"/>
    <sheet name="Supues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9" customWidth="1" min="3" max="3"/>
    <col width="42" customWidth="1" min="4" max="4"/>
    <col width="14" customWidth="1" min="5" max="5"/>
    <col width="18" customWidth="1" min="6" max="6"/>
    <col width="14" customWidth="1" min="7" max="7"/>
    <col width="9" customWidth="1" min="8" max="8"/>
  </cols>
  <sheetData>
    <row r="1">
      <c r="A1" s="1" t="inlineStr">
        <is>
          <t>PROGRAMA ARQUITECTÓNICO – FIC-UNI – Resumen por edificio y nivel</t>
        </is>
      </c>
    </row>
    <row r="3">
      <c r="A3" s="2" t="inlineStr">
        <is>
          <t>Edificio</t>
        </is>
      </c>
      <c r="B3" s="2" t="inlineStr">
        <is>
          <t>Nivel</t>
        </is>
      </c>
      <c r="C3" s="2" t="inlineStr">
        <is>
          <t>Cota (m)</t>
        </is>
      </c>
      <c r="D3" s="2" t="inlineStr">
        <is>
          <t>Uso principal</t>
        </is>
      </c>
      <c r="E3" s="2" t="inlineStr">
        <is>
          <t>Área útil (m²)</t>
        </is>
      </c>
      <c r="F3" s="2" t="inlineStr">
        <is>
          <t>Muros/tolerancia (m²)</t>
        </is>
      </c>
      <c r="G3" s="2" t="inlineStr">
        <is>
          <t>Área bruta (m²)</t>
        </is>
      </c>
      <c r="H3" s="2" t="inlineStr">
        <is>
          <t>Aforo</t>
        </is>
      </c>
    </row>
    <row r="4">
      <c r="A4" t="inlineStr">
        <is>
          <t>Edificio 1</t>
        </is>
      </c>
      <c r="B4" t="inlineStr">
        <is>
          <t>Sótano 2</t>
        </is>
      </c>
      <c r="C4" t="n">
        <v>-6</v>
      </c>
      <c r="D4" t="inlineStr">
        <is>
          <t>Estacionamiento, cisterna y bombas</t>
        </is>
      </c>
      <c r="E4">
        <f>'Edificio 1'!G10</f>
        <v/>
      </c>
      <c r="F4">
        <f>'Edificio 1'!G11</f>
        <v/>
      </c>
      <c r="G4">
        <f>'Edificio 1'!G12</f>
        <v/>
      </c>
      <c r="H4">
        <f>'Edificio 1'!H10</f>
        <v/>
      </c>
    </row>
    <row r="5">
      <c r="A5" t="inlineStr">
        <is>
          <t>Edificio 1</t>
        </is>
      </c>
      <c r="B5" t="inlineStr">
        <is>
          <t>Sótano 1</t>
        </is>
      </c>
      <c r="C5" t="n">
        <v>-3</v>
      </c>
      <c r="D5" t="inlineStr">
        <is>
          <t>Estacionamiento, grupo electrógeno</t>
        </is>
      </c>
      <c r="E5">
        <f>'Edificio 1'!G21</f>
        <v/>
      </c>
      <c r="F5">
        <f>'Edificio 1'!G22</f>
        <v/>
      </c>
      <c r="G5">
        <f>'Edificio 1'!G23</f>
        <v/>
      </c>
      <c r="H5">
        <f>'Edificio 1'!H21</f>
        <v/>
      </c>
    </row>
    <row r="6">
      <c r="A6" t="inlineStr">
        <is>
          <t>Edificio 1</t>
        </is>
      </c>
      <c r="B6" t="inlineStr">
        <is>
          <t>Piso 1</t>
        </is>
      </c>
      <c r="C6" t="n">
        <v>0</v>
      </c>
      <c r="D6" t="inlineStr">
        <is>
          <t>Hall, sala de estudio, administración</t>
        </is>
      </c>
      <c r="E6">
        <f>'Edificio 1'!G34</f>
        <v/>
      </c>
      <c r="F6">
        <f>'Edificio 1'!G35</f>
        <v/>
      </c>
      <c r="G6">
        <f>'Edificio 1'!G36</f>
        <v/>
      </c>
      <c r="H6">
        <f>'Edificio 1'!H34</f>
        <v/>
      </c>
    </row>
    <row r="7">
      <c r="A7" t="inlineStr">
        <is>
          <t>Edificio 1</t>
        </is>
      </c>
      <c r="B7" t="inlineStr">
        <is>
          <t>Piso 2</t>
        </is>
      </c>
      <c r="C7" t="n">
        <v>3</v>
      </c>
      <c r="D7" t="inlineStr">
        <is>
          <t>Laboratorio 1 + cómputo</t>
        </is>
      </c>
      <c r="E7">
        <f>'Edificio 1'!G46</f>
        <v/>
      </c>
      <c r="F7">
        <f>'Edificio 1'!G47</f>
        <v/>
      </c>
      <c r="G7">
        <f>'Edificio 1'!G48</f>
        <v/>
      </c>
      <c r="H7">
        <f>'Edificio 1'!H46</f>
        <v/>
      </c>
    </row>
    <row r="8">
      <c r="A8" t="inlineStr">
        <is>
          <t>Edificio 1</t>
        </is>
      </c>
      <c r="B8" t="inlineStr">
        <is>
          <t>Piso 3</t>
        </is>
      </c>
      <c r="C8" t="n">
        <v>6</v>
      </c>
      <c r="D8" t="inlineStr">
        <is>
          <t>Laboratorio 2 + aula BIM</t>
        </is>
      </c>
      <c r="E8">
        <f>'Edificio 1'!G58</f>
        <v/>
      </c>
      <c r="F8">
        <f>'Edificio 1'!G59</f>
        <v/>
      </c>
      <c r="G8">
        <f>'Edificio 1'!G60</f>
        <v/>
      </c>
      <c r="H8">
        <f>'Edificio 1'!H58</f>
        <v/>
      </c>
    </row>
    <row r="9">
      <c r="A9" t="inlineStr">
        <is>
          <t>Edificio 1</t>
        </is>
      </c>
      <c r="B9" t="inlineStr">
        <is>
          <t>Piso 4</t>
        </is>
      </c>
      <c r="C9" t="n">
        <v>9</v>
      </c>
      <c r="D9" t="inlineStr">
        <is>
          <t>Laboratorio 3 + depósito impresoras</t>
        </is>
      </c>
      <c r="E9">
        <f>'Edificio 1'!G71</f>
        <v/>
      </c>
      <c r="F9">
        <f>'Edificio 1'!G72</f>
        <v/>
      </c>
      <c r="G9">
        <f>'Edificio 1'!G73</f>
        <v/>
      </c>
      <c r="H9">
        <f>'Edificio 1'!H71</f>
        <v/>
      </c>
    </row>
    <row r="10">
      <c r="A10" t="inlineStr">
        <is>
          <t>Edificio 1</t>
        </is>
      </c>
      <c r="B10" t="inlineStr">
        <is>
          <t>Piso 5</t>
        </is>
      </c>
      <c r="C10" t="n">
        <v>12</v>
      </c>
      <c r="D10" t="inlineStr">
        <is>
          <t>Aula taller + oficina y depósito</t>
        </is>
      </c>
      <c r="E10">
        <f>'Edificio 1'!G84</f>
        <v/>
      </c>
      <c r="F10">
        <f>'Edificio 1'!G85</f>
        <v/>
      </c>
      <c r="G10">
        <f>'Edificio 1'!G86</f>
        <v/>
      </c>
      <c r="H10">
        <f>'Edificio 1'!H84</f>
        <v/>
      </c>
    </row>
    <row r="11">
      <c r="A11" t="inlineStr">
        <is>
          <t>Edificio 1</t>
        </is>
      </c>
      <c r="B11" t="inlineStr">
        <is>
          <t>Piso 6</t>
        </is>
      </c>
      <c r="C11" t="n">
        <v>15</v>
      </c>
      <c r="D11" t="inlineStr">
        <is>
          <t>3 aulas teóricas</t>
        </is>
      </c>
      <c r="E11">
        <f>'Edificio 1'!G95</f>
        <v/>
      </c>
      <c r="F11">
        <f>'Edificio 1'!G96</f>
        <v/>
      </c>
      <c r="G11">
        <f>'Edificio 1'!G97</f>
        <v/>
      </c>
      <c r="H11">
        <f>'Edificio 1'!H95</f>
        <v/>
      </c>
    </row>
    <row r="12">
      <c r="A12" t="inlineStr">
        <is>
          <t>Edificio 1</t>
        </is>
      </c>
      <c r="B12" t="inlineStr">
        <is>
          <t>Piso 7</t>
        </is>
      </c>
      <c r="C12" t="n">
        <v>18</v>
      </c>
      <c r="D12" t="inlineStr">
        <is>
          <t>Aula magna (60 pers.) + terraza</t>
        </is>
      </c>
      <c r="E12">
        <f>'Edificio 1'!G109</f>
        <v/>
      </c>
      <c r="F12">
        <f>'Edificio 1'!G110</f>
        <v/>
      </c>
      <c r="G12">
        <f>'Edificio 1'!G111</f>
        <v/>
      </c>
      <c r="H12">
        <f>'Edificio 1'!H109</f>
        <v/>
      </c>
    </row>
    <row r="13">
      <c r="A13" t="inlineStr">
        <is>
          <t>Edificio 1</t>
        </is>
      </c>
      <c r="B13" t="inlineStr">
        <is>
          <t>Azotea técnica</t>
        </is>
      </c>
      <c r="C13" t="n">
        <v>21</v>
      </c>
      <c r="D13" t="inlineStr">
        <is>
          <t>Tanque y equipos</t>
        </is>
      </c>
      <c r="E13">
        <f>'Edificio 1'!G115</f>
        <v/>
      </c>
      <c r="F13">
        <f>'Edificio 1'!G116</f>
        <v/>
      </c>
      <c r="G13">
        <f>'Edificio 1'!G117</f>
        <v/>
      </c>
      <c r="H13">
        <f>'Edificio 1'!H115</f>
        <v/>
      </c>
    </row>
    <row r="14">
      <c r="A14" s="3" t="inlineStr">
        <is>
          <t>Edificio 1</t>
        </is>
      </c>
      <c r="B14" s="3" t="inlineStr">
        <is>
          <t>TOTAL</t>
        </is>
      </c>
      <c r="C14" s="3" t="n"/>
      <c r="D14" s="3" t="n"/>
      <c r="E14" s="3">
        <f>SUM(E4:E13)</f>
        <v/>
      </c>
      <c r="F14" s="3">
        <f>SUM(F4:F13)</f>
        <v/>
      </c>
      <c r="G14" s="3">
        <f>SUM(G4:G13)</f>
        <v/>
      </c>
      <c r="H14" s="3">
        <f>SUM(H4:H13)</f>
        <v/>
      </c>
    </row>
    <row r="15">
      <c r="A15" t="inlineStr">
        <is>
          <t>Edificio 2</t>
        </is>
      </c>
      <c r="B15" t="inlineStr">
        <is>
          <t>Sótano 1</t>
        </is>
      </c>
      <c r="C15" t="n">
        <v>-3</v>
      </c>
      <c r="D15" t="inlineStr">
        <is>
          <t>Estacionamiento</t>
        </is>
      </c>
      <c r="E15">
        <f>'Edificio 2'!G9</f>
        <v/>
      </c>
      <c r="F15">
        <f>'Edificio 2'!G10</f>
        <v/>
      </c>
      <c r="G15">
        <f>'Edificio 2'!G11</f>
        <v/>
      </c>
      <c r="H15">
        <f>'Edificio 2'!H9</f>
        <v/>
      </c>
    </row>
    <row r="16">
      <c r="A16" t="inlineStr">
        <is>
          <t>Edificio 2</t>
        </is>
      </c>
      <c r="B16" t="inlineStr">
        <is>
          <t>Piso 1</t>
        </is>
      </c>
      <c r="C16" t="n">
        <v>0</v>
      </c>
      <c r="D16" t="inlineStr">
        <is>
          <t>Cafetería</t>
        </is>
      </c>
      <c r="E16">
        <f>'Edificio 2'!G21</f>
        <v/>
      </c>
      <c r="F16">
        <f>'Edificio 2'!G22</f>
        <v/>
      </c>
      <c r="G16">
        <f>'Edificio 2'!G23</f>
        <v/>
      </c>
      <c r="H16">
        <f>'Edificio 2'!H21</f>
        <v/>
      </c>
    </row>
    <row r="17">
      <c r="A17" t="inlineStr">
        <is>
          <t>Edificio 2</t>
        </is>
      </c>
      <c r="B17" t="inlineStr">
        <is>
          <t>Piso 2</t>
        </is>
      </c>
      <c r="C17" t="n">
        <v>3</v>
      </c>
      <c r="D17" t="inlineStr">
        <is>
          <t>Aula de idiomas 1</t>
        </is>
      </c>
      <c r="E17">
        <f>'Edificio 2'!G33</f>
        <v/>
      </c>
      <c r="F17">
        <f>'Edificio 2'!G34</f>
        <v/>
      </c>
      <c r="G17">
        <f>'Edificio 2'!G35</f>
        <v/>
      </c>
      <c r="H17">
        <f>'Edificio 2'!H33</f>
        <v/>
      </c>
    </row>
    <row r="18">
      <c r="A18" t="inlineStr">
        <is>
          <t>Edificio 2</t>
        </is>
      </c>
      <c r="B18" t="inlineStr">
        <is>
          <t>Piso 3</t>
        </is>
      </c>
      <c r="C18" t="n">
        <v>6</v>
      </c>
      <c r="D18" t="inlineStr">
        <is>
          <t>Aula de idiomas 2</t>
        </is>
      </c>
      <c r="E18">
        <f>'Edificio 2'!G45</f>
        <v/>
      </c>
      <c r="F18">
        <f>'Edificio 2'!G46</f>
        <v/>
      </c>
      <c r="G18">
        <f>'Edificio 2'!G47</f>
        <v/>
      </c>
      <c r="H18">
        <f>'Edificio 2'!H45</f>
        <v/>
      </c>
    </row>
    <row r="19">
      <c r="A19" t="inlineStr">
        <is>
          <t>Edificio 2</t>
        </is>
      </c>
      <c r="B19" t="inlineStr">
        <is>
          <t>Piso 4</t>
        </is>
      </c>
      <c r="C19" t="n">
        <v>9</v>
      </c>
      <c r="D19" t="inlineStr">
        <is>
          <t>Aula de idiomas 3</t>
        </is>
      </c>
      <c r="E19">
        <f>'Edificio 2'!G57</f>
        <v/>
      </c>
      <c r="F19">
        <f>'Edificio 2'!G58</f>
        <v/>
      </c>
      <c r="G19">
        <f>'Edificio 2'!G59</f>
        <v/>
      </c>
      <c r="H19">
        <f>'Edificio 2'!H57</f>
        <v/>
      </c>
    </row>
    <row r="20">
      <c r="A20" s="3" t="inlineStr">
        <is>
          <t>Edificio 2</t>
        </is>
      </c>
      <c r="B20" s="3" t="inlineStr">
        <is>
          <t>TOTAL</t>
        </is>
      </c>
      <c r="C20" s="3" t="n"/>
      <c r="D20" s="3" t="n"/>
      <c r="E20" s="3">
        <f>SUM(E15:E19)</f>
        <v/>
      </c>
      <c r="F20" s="3">
        <f>SUM(F15:F19)</f>
        <v/>
      </c>
      <c r="G20" s="3">
        <f>SUM(G15:G19)</f>
        <v/>
      </c>
      <c r="H20" s="3">
        <f>SUM(H15:H19)</f>
        <v/>
      </c>
    </row>
    <row r="21">
      <c r="A21" s="4" t="inlineStr">
        <is>
          <t>TOTAL GENERAL</t>
        </is>
      </c>
      <c r="B21" s="4" t="n"/>
      <c r="C21" s="4" t="n"/>
      <c r="D21" s="4" t="n"/>
      <c r="E21" s="4">
        <f>E14+E20</f>
        <v/>
      </c>
      <c r="F21" s="4">
        <f>F14+F20</f>
        <v/>
      </c>
      <c r="G21" s="4">
        <f>G14+G20</f>
        <v/>
      </c>
      <c r="H21" s="4">
        <f>H14+H20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46" customWidth="1" min="3" max="3"/>
    <col width="20" customWidth="1" min="4" max="4"/>
    <col width="7" customWidth="1" min="5" max="5"/>
    <col width="14" customWidth="1" min="6" max="6"/>
    <col width="14" customWidth="1" min="7" max="7"/>
    <col width="8" customWidth="1" min="8" max="8"/>
    <col width="44" customWidth="1" min="9" max="9"/>
  </cols>
  <sheetData>
    <row r="1">
      <c r="A1" s="1" t="inlineStr">
        <is>
          <t>EDIFICIO N°1 – Huella 403 m² – 7 pisos + 2 sótanos + azotea técnica</t>
        </is>
      </c>
    </row>
    <row r="3">
      <c r="A3" s="5" t="inlineStr">
        <is>
          <t>Nivel</t>
        </is>
      </c>
      <c r="B3" s="5" t="inlineStr">
        <is>
          <t>Cota (m)</t>
        </is>
      </c>
      <c r="C3" s="5" t="inlineStr">
        <is>
          <t>Ambiente</t>
        </is>
      </c>
      <c r="D3" s="5" t="inlineStr">
        <is>
          <t>Categoría</t>
        </is>
      </c>
      <c r="E3" s="5" t="inlineStr">
        <is>
          <t>Cant.</t>
        </is>
      </c>
      <c r="F3" s="5" t="inlineStr">
        <is>
          <t>Área unit. (m²)</t>
        </is>
      </c>
      <c r="G3" s="5" t="inlineStr">
        <is>
          <t>Área total (m²)</t>
        </is>
      </c>
      <c r="H3" s="5" t="inlineStr">
        <is>
          <t>Aforo</t>
        </is>
      </c>
      <c r="I3" s="5" t="inlineStr">
        <is>
          <t>Observaciones</t>
        </is>
      </c>
    </row>
    <row r="4">
      <c r="A4" t="inlineStr">
        <is>
          <t>Sótano 2</t>
        </is>
      </c>
      <c r="B4" t="n">
        <v>-6</v>
      </c>
      <c r="C4" t="inlineStr">
        <is>
          <t>Rampa vehicular</t>
        </is>
      </c>
      <c r="D4" t="inlineStr">
        <is>
          <t>Estacionamiento</t>
        </is>
      </c>
      <c r="E4" t="n">
        <v>1</v>
      </c>
      <c r="F4" t="n">
        <v>55</v>
      </c>
      <c r="G4">
        <f>E4*F4</f>
        <v/>
      </c>
      <c r="H4" t="n">
        <v>0</v>
      </c>
      <c r="I4" t="inlineStr"/>
    </row>
    <row r="5">
      <c r="A5" t="inlineStr">
        <is>
          <t>Sótano 2</t>
        </is>
      </c>
      <c r="B5" t="n">
        <v>-6</v>
      </c>
      <c r="C5" t="inlineStr">
        <is>
          <t>Estacionamiento (11 plazas)</t>
        </is>
      </c>
      <c r="D5" t="inlineStr">
        <is>
          <t>Estacionamiento</t>
        </is>
      </c>
      <c r="E5" t="n">
        <v>1</v>
      </c>
      <c r="F5" t="n">
        <v>190</v>
      </c>
      <c r="G5">
        <f>E5*F5</f>
        <v/>
      </c>
      <c r="H5" t="n">
        <v>0</v>
      </c>
      <c r="I5" t="inlineStr">
        <is>
          <t>Incluye circulación vehicular</t>
        </is>
      </c>
    </row>
    <row r="6">
      <c r="A6" t="inlineStr">
        <is>
          <t>Sótano 2</t>
        </is>
      </c>
      <c r="B6" t="n">
        <v>-6</v>
      </c>
      <c r="C6" t="inlineStr">
        <is>
          <t>Cisterna y cuarto de bombas</t>
        </is>
      </c>
      <c r="D6" t="inlineStr">
        <is>
          <t>Servidumbre</t>
        </is>
      </c>
      <c r="E6" t="n">
        <v>1</v>
      </c>
      <c r="F6" t="n">
        <v>60</v>
      </c>
      <c r="G6">
        <f>E6*F6</f>
        <v/>
      </c>
      <c r="H6" t="n">
        <v>0</v>
      </c>
      <c r="I6" t="inlineStr">
        <is>
          <t>Piso de servidumbre</t>
        </is>
      </c>
    </row>
    <row r="7">
      <c r="A7" t="inlineStr">
        <is>
          <t>Sótano 2</t>
        </is>
      </c>
      <c r="B7" t="n">
        <v>-6</v>
      </c>
      <c r="C7" t="inlineStr">
        <is>
          <t>Escalera de evacuación protegida</t>
        </is>
      </c>
      <c r="D7" t="inlineStr">
        <is>
          <t>Circulación vertical</t>
        </is>
      </c>
      <c r="E7" t="n">
        <v>2</v>
      </c>
      <c r="F7" t="n">
        <v>16</v>
      </c>
      <c r="G7">
        <f>E7*F7</f>
        <v/>
      </c>
      <c r="H7" t="n">
        <v>0</v>
      </c>
      <c r="I7" t="inlineStr"/>
    </row>
    <row r="8">
      <c r="A8" t="inlineStr">
        <is>
          <t>Sótano 2</t>
        </is>
      </c>
      <c r="B8" t="n">
        <v>-6</v>
      </c>
      <c r="C8" t="inlineStr">
        <is>
          <t>Ascensor accesible</t>
        </is>
      </c>
      <c r="D8" t="inlineStr">
        <is>
          <t>Circulación vertical</t>
        </is>
      </c>
      <c r="E8" t="n">
        <v>1</v>
      </c>
      <c r="F8" t="n">
        <v>7</v>
      </c>
      <c r="G8">
        <f>E8*F8</f>
        <v/>
      </c>
      <c r="H8" t="n">
        <v>0</v>
      </c>
      <c r="I8" t="inlineStr"/>
    </row>
    <row r="9">
      <c r="A9" t="inlineStr">
        <is>
          <t>Sótano 2</t>
        </is>
      </c>
      <c r="B9" t="n">
        <v>-6</v>
      </c>
      <c r="C9" t="inlineStr">
        <is>
          <t>Ductos de instalaciones</t>
        </is>
      </c>
      <c r="D9" t="inlineStr">
        <is>
          <t>Servicios</t>
        </is>
      </c>
      <c r="E9" t="n">
        <v>1</v>
      </c>
      <c r="F9" t="n">
        <v>8</v>
      </c>
      <c r="G9">
        <f>E9*F9</f>
        <v/>
      </c>
      <c r="H9" t="n">
        <v>0</v>
      </c>
      <c r="I9" t="inlineStr"/>
    </row>
    <row r="10">
      <c r="A10" s="6" t="inlineStr">
        <is>
          <t>Sótano 2</t>
        </is>
      </c>
      <c r="B10" s="6" t="n">
        <v>-6</v>
      </c>
      <c r="C10" s="6" t="inlineStr">
        <is>
          <t>Subtotal área útil + circulación</t>
        </is>
      </c>
      <c r="D10" s="6" t="n"/>
      <c r="E10" s="6" t="n"/>
      <c r="F10" s="6" t="n"/>
      <c r="G10" s="6">
        <f>SUM(G4:G9)</f>
        <v/>
      </c>
      <c r="H10" s="6">
        <f>SUM(H4:H9)</f>
        <v/>
      </c>
      <c r="I10" s="6" t="inlineStr"/>
    </row>
    <row r="11">
      <c r="A11" s="6" t="inlineStr">
        <is>
          <t>Sótano 2</t>
        </is>
      </c>
      <c r="B11" s="6" t="n">
        <v>-6</v>
      </c>
      <c r="C11" s="6" t="inlineStr">
        <is>
          <t>Muros, columnas y tolerancia</t>
        </is>
      </c>
      <c r="D11" s="6" t="n"/>
      <c r="E11" s="6" t="n"/>
      <c r="F11" s="6" t="n"/>
      <c r="G11" s="6">
        <f>G12-G10</f>
        <v/>
      </c>
      <c r="H11" s="6" t="inlineStr"/>
      <c r="I11" s="6" t="inlineStr"/>
    </row>
    <row r="12">
      <c r="A12" s="3" t="inlineStr">
        <is>
          <t>Sótano 2</t>
        </is>
      </c>
      <c r="B12" s="3" t="n">
        <v>-6</v>
      </c>
      <c r="C12" s="3" t="inlineStr">
        <is>
          <t>ÁREA BRUTA DEL NIVEL (huella)</t>
        </is>
      </c>
      <c r="D12" s="3" t="n"/>
      <c r="E12" s="3" t="n"/>
      <c r="F12" s="3" t="n"/>
      <c r="G12" s="3" t="n">
        <v>403</v>
      </c>
      <c r="H12" s="3" t="inlineStr"/>
      <c r="I12" s="3" t="inlineStr"/>
    </row>
    <row r="13"/>
    <row r="14">
      <c r="A14" t="inlineStr">
        <is>
          <t>Sótano 1</t>
        </is>
      </c>
      <c r="B14" t="n">
        <v>-3</v>
      </c>
      <c r="C14" t="inlineStr">
        <is>
          <t>Rampa vehicular</t>
        </is>
      </c>
      <c r="D14" t="inlineStr">
        <is>
          <t>Estacionamiento</t>
        </is>
      </c>
      <c r="E14" t="n">
        <v>1</v>
      </c>
      <c r="F14" t="n">
        <v>55</v>
      </c>
      <c r="G14">
        <f>E14*F14</f>
        <v/>
      </c>
      <c r="H14" t="n">
        <v>0</v>
      </c>
      <c r="I14" t="inlineStr"/>
    </row>
    <row r="15">
      <c r="A15" t="inlineStr">
        <is>
          <t>Sótano 1</t>
        </is>
      </c>
      <c r="B15" t="n">
        <v>-3</v>
      </c>
      <c r="C15" t="inlineStr">
        <is>
          <t>Estacionamiento (11 plazas)</t>
        </is>
      </c>
      <c r="D15" t="inlineStr">
        <is>
          <t>Estacionamiento</t>
        </is>
      </c>
      <c r="E15" t="n">
        <v>1</v>
      </c>
      <c r="F15" t="n">
        <v>190</v>
      </c>
      <c r="G15">
        <f>E15*F15</f>
        <v/>
      </c>
      <c r="H15" t="n">
        <v>0</v>
      </c>
      <c r="I15" t="inlineStr"/>
    </row>
    <row r="16">
      <c r="A16" t="inlineStr">
        <is>
          <t>Sótano 1</t>
        </is>
      </c>
      <c r="B16" t="n">
        <v>-3</v>
      </c>
      <c r="C16" t="inlineStr">
        <is>
          <t>Grupo electrógeno y tableros</t>
        </is>
      </c>
      <c r="D16" t="inlineStr">
        <is>
          <t>Servidumbre</t>
        </is>
      </c>
      <c r="E16" t="n">
        <v>1</v>
      </c>
      <c r="F16" t="n">
        <v>35</v>
      </c>
      <c r="G16">
        <f>E16*F16</f>
        <v/>
      </c>
      <c r="H16" t="n">
        <v>0</v>
      </c>
      <c r="I16" t="inlineStr">
        <is>
          <t>Piso de servidumbre</t>
        </is>
      </c>
    </row>
    <row r="17">
      <c r="A17" t="inlineStr">
        <is>
          <t>Sótano 1</t>
        </is>
      </c>
      <c r="B17" t="n">
        <v>-3</v>
      </c>
      <c r="C17" t="inlineStr">
        <is>
          <t>Depósito general</t>
        </is>
      </c>
      <c r="D17" t="inlineStr">
        <is>
          <t>Servidumbre</t>
        </is>
      </c>
      <c r="E17" t="n">
        <v>1</v>
      </c>
      <c r="F17" t="n">
        <v>40</v>
      </c>
      <c r="G17">
        <f>E17*F17</f>
        <v/>
      </c>
      <c r="H17" t="n">
        <v>0</v>
      </c>
      <c r="I17" t="inlineStr"/>
    </row>
    <row r="18">
      <c r="A18" t="inlineStr">
        <is>
          <t>Sótano 1</t>
        </is>
      </c>
      <c r="B18" t="n">
        <v>-3</v>
      </c>
      <c r="C18" t="inlineStr">
        <is>
          <t>Escalera de evacuación protegida</t>
        </is>
      </c>
      <c r="D18" t="inlineStr">
        <is>
          <t>Circulación vertical</t>
        </is>
      </c>
      <c r="E18" t="n">
        <v>2</v>
      </c>
      <c r="F18" t="n">
        <v>16</v>
      </c>
      <c r="G18">
        <f>E18*F18</f>
        <v/>
      </c>
      <c r="H18" t="n">
        <v>0</v>
      </c>
      <c r="I18" t="inlineStr"/>
    </row>
    <row r="19">
      <c r="A19" t="inlineStr">
        <is>
          <t>Sótano 1</t>
        </is>
      </c>
      <c r="B19" t="n">
        <v>-3</v>
      </c>
      <c r="C19" t="inlineStr">
        <is>
          <t>Ascensor accesible</t>
        </is>
      </c>
      <c r="D19" t="inlineStr">
        <is>
          <t>Circulación vertical</t>
        </is>
      </c>
      <c r="E19" t="n">
        <v>1</v>
      </c>
      <c r="F19" t="n">
        <v>7</v>
      </c>
      <c r="G19">
        <f>E19*F19</f>
        <v/>
      </c>
      <c r="H19" t="n">
        <v>0</v>
      </c>
      <c r="I19" t="inlineStr"/>
    </row>
    <row r="20">
      <c r="A20" t="inlineStr">
        <is>
          <t>Sótano 1</t>
        </is>
      </c>
      <c r="B20" t="n">
        <v>-3</v>
      </c>
      <c r="C20" t="inlineStr">
        <is>
          <t>Ductos de instalaciones</t>
        </is>
      </c>
      <c r="D20" t="inlineStr">
        <is>
          <t>Servicios</t>
        </is>
      </c>
      <c r="E20" t="n">
        <v>1</v>
      </c>
      <c r="F20" t="n">
        <v>8</v>
      </c>
      <c r="G20">
        <f>E20*F20</f>
        <v/>
      </c>
      <c r="H20" t="n">
        <v>0</v>
      </c>
      <c r="I20" t="inlineStr"/>
    </row>
    <row r="21">
      <c r="A21" s="6" t="inlineStr">
        <is>
          <t>Sótano 1</t>
        </is>
      </c>
      <c r="B21" s="6" t="n">
        <v>-3</v>
      </c>
      <c r="C21" s="6" t="inlineStr">
        <is>
          <t>Subtotal área útil + circulación</t>
        </is>
      </c>
      <c r="D21" s="6" t="n"/>
      <c r="E21" s="6" t="n"/>
      <c r="F21" s="6" t="n"/>
      <c r="G21" s="6">
        <f>SUM(G13:G20)</f>
        <v/>
      </c>
      <c r="H21" s="6">
        <f>SUM(H13:H20)</f>
        <v/>
      </c>
      <c r="I21" s="6" t="inlineStr"/>
    </row>
    <row r="22">
      <c r="A22" s="6" t="inlineStr">
        <is>
          <t>Sótano 1</t>
        </is>
      </c>
      <c r="B22" s="6" t="n">
        <v>-3</v>
      </c>
      <c r="C22" s="6" t="inlineStr">
        <is>
          <t>Muros, columnas y tolerancia</t>
        </is>
      </c>
      <c r="D22" s="6" t="n"/>
      <c r="E22" s="6" t="n"/>
      <c r="F22" s="6" t="n"/>
      <c r="G22" s="6">
        <f>G23-G21</f>
        <v/>
      </c>
      <c r="H22" s="6" t="inlineStr"/>
      <c r="I22" s="6" t="inlineStr"/>
    </row>
    <row r="23">
      <c r="A23" s="3" t="inlineStr">
        <is>
          <t>Sótano 1</t>
        </is>
      </c>
      <c r="B23" s="3" t="n">
        <v>-3</v>
      </c>
      <c r="C23" s="3" t="inlineStr">
        <is>
          <t>ÁREA BRUTA DEL NIVEL (huella)</t>
        </is>
      </c>
      <c r="D23" s="3" t="n"/>
      <c r="E23" s="3" t="n"/>
      <c r="F23" s="3" t="n"/>
      <c r="G23" s="3" t="n">
        <v>403</v>
      </c>
      <c r="H23" s="3" t="inlineStr"/>
      <c r="I23" s="3" t="inlineStr"/>
    </row>
    <row r="24"/>
    <row r="25">
      <c r="A25" t="inlineStr">
        <is>
          <t>Piso 1</t>
        </is>
      </c>
      <c r="B25" t="n">
        <v>0</v>
      </c>
      <c r="C25" t="inlineStr">
        <is>
          <t>Hall de ingreso y distribución</t>
        </is>
      </c>
      <c r="D25" t="inlineStr">
        <is>
          <t>Circulación</t>
        </is>
      </c>
      <c r="E25" t="n">
        <v>1</v>
      </c>
      <c r="F25" t="n">
        <v>90</v>
      </c>
      <c r="G25">
        <f>E25*F25</f>
        <v/>
      </c>
      <c r="H25" t="n">
        <v>0</v>
      </c>
      <c r="I25" t="inlineStr">
        <is>
          <t>Acceso principal</t>
        </is>
      </c>
    </row>
    <row r="26">
      <c r="A26" t="inlineStr">
        <is>
          <t>Piso 1</t>
        </is>
      </c>
      <c r="B26" t="n">
        <v>0</v>
      </c>
      <c r="C26" t="inlineStr">
        <is>
          <t>Recepción y control</t>
        </is>
      </c>
      <c r="D26" t="inlineStr">
        <is>
          <t>Administración</t>
        </is>
      </c>
      <c r="E26" t="n">
        <v>1</v>
      </c>
      <c r="F26" t="n">
        <v>15</v>
      </c>
      <c r="G26">
        <f>E26*F26</f>
        <v/>
      </c>
      <c r="H26" t="n">
        <v>2</v>
      </c>
      <c r="I26" t="inlineStr"/>
    </row>
    <row r="27">
      <c r="A27" t="inlineStr">
        <is>
          <t>Piso 1</t>
        </is>
      </c>
      <c r="B27" t="n">
        <v>0</v>
      </c>
      <c r="C27" t="inlineStr">
        <is>
          <t>Sala de estudio</t>
        </is>
      </c>
      <c r="D27" t="inlineStr">
        <is>
          <t>Estudio</t>
        </is>
      </c>
      <c r="E27" t="n">
        <v>1</v>
      </c>
      <c r="F27" t="n">
        <v>100</v>
      </c>
      <c r="G27">
        <f>E27*F27</f>
        <v/>
      </c>
      <c r="H27" t="n">
        <v>50</v>
      </c>
      <c r="I27" t="inlineStr">
        <is>
          <t>2 m²/persona</t>
        </is>
      </c>
    </row>
    <row r="28">
      <c r="A28" t="inlineStr">
        <is>
          <t>Piso 1</t>
        </is>
      </c>
      <c r="B28" t="n">
        <v>0</v>
      </c>
      <c r="C28" t="inlineStr">
        <is>
          <t>Oficina de coordinación</t>
        </is>
      </c>
      <c r="D28" t="inlineStr">
        <is>
          <t>Administración</t>
        </is>
      </c>
      <c r="E28" t="n">
        <v>1</v>
      </c>
      <c r="F28" t="n">
        <v>40</v>
      </c>
      <c r="G28">
        <f>E28*F28</f>
        <v/>
      </c>
      <c r="H28" t="n">
        <v>4</v>
      </c>
      <c r="I28" t="inlineStr"/>
    </row>
    <row r="29">
      <c r="A29" t="inlineStr">
        <is>
          <t>Piso 1</t>
        </is>
      </c>
      <c r="B29" t="n">
        <v>0</v>
      </c>
      <c r="C29" t="inlineStr">
        <is>
          <t>Escalera de evacuación protegida</t>
        </is>
      </c>
      <c r="D29" t="inlineStr">
        <is>
          <t>Circulación vertical</t>
        </is>
      </c>
      <c r="E29" t="n">
        <v>2</v>
      </c>
      <c r="F29" t="n">
        <v>16</v>
      </c>
      <c r="G29">
        <f>E29*F29</f>
        <v/>
      </c>
      <c r="H29" t="n">
        <v>0</v>
      </c>
      <c r="I29" t="inlineStr">
        <is>
          <t>Ancho libre ≥1.20 m, a prueba de humo</t>
        </is>
      </c>
    </row>
    <row r="30">
      <c r="A30" t="inlineStr">
        <is>
          <t>Piso 1</t>
        </is>
      </c>
      <c r="B30" t="n">
        <v>0</v>
      </c>
      <c r="C30" t="inlineStr">
        <is>
          <t>Ascensor accesible (cabina camilla)</t>
        </is>
      </c>
      <c r="D30" t="inlineStr">
        <is>
          <t>Circulación vertical</t>
        </is>
      </c>
      <c r="E30" t="n">
        <v>1</v>
      </c>
      <c r="F30" t="n">
        <v>7</v>
      </c>
      <c r="G30">
        <f>E30*F30</f>
        <v/>
      </c>
      <c r="H30" t="n">
        <v>0</v>
      </c>
      <c r="I30" t="inlineStr">
        <is>
          <t>Acceso universal RNE A.120</t>
        </is>
      </c>
    </row>
    <row r="31">
      <c r="A31" t="inlineStr">
        <is>
          <t>Piso 1</t>
        </is>
      </c>
      <c r="B31" t="n">
        <v>0</v>
      </c>
      <c r="C31" t="inlineStr">
        <is>
          <t>SS.HH. hombres/mujeres/accesible</t>
        </is>
      </c>
      <c r="D31" t="inlineStr">
        <is>
          <t>Servicios</t>
        </is>
      </c>
      <c r="E31" t="n">
        <v>1</v>
      </c>
      <c r="F31" t="n">
        <v>20</v>
      </c>
      <c r="G31">
        <f>E31*F31</f>
        <v/>
      </c>
      <c r="H31" t="n">
        <v>0</v>
      </c>
      <c r="I31" t="inlineStr">
        <is>
          <t>Según aforo del nivel</t>
        </is>
      </c>
    </row>
    <row r="32">
      <c r="A32" t="inlineStr">
        <is>
          <t>Piso 1</t>
        </is>
      </c>
      <c r="B32" t="n">
        <v>0</v>
      </c>
      <c r="C32" t="inlineStr">
        <is>
          <t>Ductos de instalaciones y ventilación</t>
        </is>
      </c>
      <c r="D32" t="inlineStr">
        <is>
          <t>Servicios</t>
        </is>
      </c>
      <c r="E32" t="n">
        <v>1</v>
      </c>
      <c r="F32" t="n">
        <v>6</v>
      </c>
      <c r="G32">
        <f>E32*F32</f>
        <v/>
      </c>
      <c r="H32" t="n">
        <v>0</v>
      </c>
      <c r="I32" t="inlineStr">
        <is>
          <t>Incluye ducto de extracción</t>
        </is>
      </c>
    </row>
    <row r="33">
      <c r="A33" t="inlineStr">
        <is>
          <t>Piso 1</t>
        </is>
      </c>
      <c r="B33" t="n">
        <v>0</v>
      </c>
      <c r="C33" t="inlineStr">
        <is>
          <t>Hall de ascensor y circulación</t>
        </is>
      </c>
      <c r="D33" t="inlineStr">
        <is>
          <t>Circulación vertical</t>
        </is>
      </c>
      <c r="E33" t="n">
        <v>1</v>
      </c>
      <c r="F33" t="n">
        <v>15</v>
      </c>
      <c r="G33">
        <f>E33*F33</f>
        <v/>
      </c>
      <c r="H33" t="n">
        <v>0</v>
      </c>
      <c r="I33" t="inlineStr"/>
    </row>
    <row r="34">
      <c r="A34" s="6" t="inlineStr">
        <is>
          <t>Piso 1</t>
        </is>
      </c>
      <c r="B34" s="6" t="n">
        <v>0</v>
      </c>
      <c r="C34" s="6" t="inlineStr">
        <is>
          <t>Subtotal área útil + circulación</t>
        </is>
      </c>
      <c r="D34" s="6" t="n"/>
      <c r="E34" s="6" t="n"/>
      <c r="F34" s="6" t="n"/>
      <c r="G34" s="6">
        <f>SUM(G24:G33)</f>
        <v/>
      </c>
      <c r="H34" s="6">
        <f>SUM(H24:H33)</f>
        <v/>
      </c>
      <c r="I34" s="6" t="inlineStr"/>
    </row>
    <row r="35">
      <c r="A35" s="6" t="inlineStr">
        <is>
          <t>Piso 1</t>
        </is>
      </c>
      <c r="B35" s="6" t="n">
        <v>0</v>
      </c>
      <c r="C35" s="6" t="inlineStr">
        <is>
          <t>Muros, columnas y tolerancia</t>
        </is>
      </c>
      <c r="D35" s="6" t="n"/>
      <c r="E35" s="6" t="n"/>
      <c r="F35" s="6" t="n"/>
      <c r="G35" s="6">
        <f>G36-G34</f>
        <v/>
      </c>
      <c r="H35" s="6" t="inlineStr"/>
      <c r="I35" s="6" t="inlineStr"/>
    </row>
    <row r="36">
      <c r="A36" s="3" t="inlineStr">
        <is>
          <t>Piso 1</t>
        </is>
      </c>
      <c r="B36" s="3" t="n">
        <v>0</v>
      </c>
      <c r="C36" s="3" t="inlineStr">
        <is>
          <t>ÁREA BRUTA DEL NIVEL (huella)</t>
        </is>
      </c>
      <c r="D36" s="3" t="n"/>
      <c r="E36" s="3" t="n"/>
      <c r="F36" s="3" t="n"/>
      <c r="G36" s="3" t="n">
        <v>403</v>
      </c>
      <c r="H36" s="3" t="inlineStr"/>
      <c r="I36" s="3" t="inlineStr"/>
    </row>
    <row r="37"/>
    <row r="38">
      <c r="A38" t="inlineStr">
        <is>
          <t>Piso 2</t>
        </is>
      </c>
      <c r="B38" t="n">
        <v>3</v>
      </c>
      <c r="C38" t="inlineStr">
        <is>
          <t>Laboratorio 1 (40 al.)</t>
        </is>
      </c>
      <c r="D38" t="inlineStr">
        <is>
          <t>Laboratorio</t>
        </is>
      </c>
      <c r="E38" t="n">
        <v>1</v>
      </c>
      <c r="F38" t="n">
        <v>200</v>
      </c>
      <c r="G38">
        <f>E38*F38</f>
        <v/>
      </c>
      <c r="H38" t="n">
        <v>40</v>
      </c>
      <c r="I38" t="inlineStr">
        <is>
          <t>5 m²/al.; ventilación natural + extracción</t>
        </is>
      </c>
    </row>
    <row r="39">
      <c r="A39" t="inlineStr">
        <is>
          <t>Piso 2</t>
        </is>
      </c>
      <c r="B39" t="n">
        <v>3</v>
      </c>
      <c r="C39" t="inlineStr">
        <is>
          <t>Vestidor con ducha (1 ducha/60 al.)</t>
        </is>
      </c>
      <c r="D39" t="inlineStr">
        <is>
          <t>Apoyo laboratorio</t>
        </is>
      </c>
      <c r="E39" t="n">
        <v>1</v>
      </c>
      <c r="F39" t="n">
        <v>20</v>
      </c>
      <c r="G39">
        <f>E39*F39</f>
        <v/>
      </c>
      <c r="H39" t="n">
        <v>0</v>
      </c>
      <c r="I39" t="inlineStr">
        <is>
          <t>Duchas H/M</t>
        </is>
      </c>
    </row>
    <row r="40">
      <c r="A40" t="inlineStr">
        <is>
          <t>Piso 2</t>
        </is>
      </c>
      <c r="B40" t="n">
        <v>3</v>
      </c>
      <c r="C40" t="inlineStr">
        <is>
          <t>Aula de cómputo (35 PC)</t>
        </is>
      </c>
      <c r="D40" t="inlineStr">
        <is>
          <t>Cómputo</t>
        </is>
      </c>
      <c r="E40" t="n">
        <v>1</v>
      </c>
      <c r="F40" t="n">
        <v>70</v>
      </c>
      <c r="G40">
        <f>E40*F40</f>
        <v/>
      </c>
      <c r="H40" t="n">
        <v>35</v>
      </c>
      <c r="I40" t="inlineStr">
        <is>
          <t>2 m²/PC</t>
        </is>
      </c>
    </row>
    <row r="41">
      <c r="A41" t="inlineStr">
        <is>
          <t>Piso 2</t>
        </is>
      </c>
      <c r="B41" t="n">
        <v>3</v>
      </c>
      <c r="C41" t="inlineStr">
        <is>
          <t>Escalera de evacuación protegida</t>
        </is>
      </c>
      <c r="D41" t="inlineStr">
        <is>
          <t>Circulación vertical</t>
        </is>
      </c>
      <c r="E41" t="n">
        <v>2</v>
      </c>
      <c r="F41" t="n">
        <v>16</v>
      </c>
      <c r="G41">
        <f>E41*F41</f>
        <v/>
      </c>
      <c r="H41" t="n">
        <v>0</v>
      </c>
      <c r="I41" t="inlineStr">
        <is>
          <t>Ancho libre ≥1.20 m, a prueba de humo</t>
        </is>
      </c>
    </row>
    <row r="42">
      <c r="A42" t="inlineStr">
        <is>
          <t>Piso 2</t>
        </is>
      </c>
      <c r="B42" t="n">
        <v>3</v>
      </c>
      <c r="C42" t="inlineStr">
        <is>
          <t>Ascensor accesible (cabina camilla)</t>
        </is>
      </c>
      <c r="D42" t="inlineStr">
        <is>
          <t>Circulación vertical</t>
        </is>
      </c>
      <c r="E42" t="n">
        <v>1</v>
      </c>
      <c r="F42" t="n">
        <v>7</v>
      </c>
      <c r="G42">
        <f>E42*F42</f>
        <v/>
      </c>
      <c r="H42" t="n">
        <v>0</v>
      </c>
      <c r="I42" t="inlineStr">
        <is>
          <t>Acceso universal RNE A.120</t>
        </is>
      </c>
    </row>
    <row r="43">
      <c r="A43" t="inlineStr">
        <is>
          <t>Piso 2</t>
        </is>
      </c>
      <c r="B43" t="n">
        <v>3</v>
      </c>
      <c r="C43" t="inlineStr">
        <is>
          <t>SS.HH. hombres/mujeres/accesible</t>
        </is>
      </c>
      <c r="D43" t="inlineStr">
        <is>
          <t>Servicios</t>
        </is>
      </c>
      <c r="E43" t="n">
        <v>1</v>
      </c>
      <c r="F43" t="n">
        <v>20</v>
      </c>
      <c r="G43">
        <f>E43*F43</f>
        <v/>
      </c>
      <c r="H43" t="n">
        <v>0</v>
      </c>
      <c r="I43" t="inlineStr">
        <is>
          <t>Según aforo del nivel</t>
        </is>
      </c>
    </row>
    <row r="44">
      <c r="A44" t="inlineStr">
        <is>
          <t>Piso 2</t>
        </is>
      </c>
      <c r="B44" t="n">
        <v>3</v>
      </c>
      <c r="C44" t="inlineStr">
        <is>
          <t>Ductos de instalaciones y ventilación</t>
        </is>
      </c>
      <c r="D44" t="inlineStr">
        <is>
          <t>Servicios</t>
        </is>
      </c>
      <c r="E44" t="n">
        <v>1</v>
      </c>
      <c r="F44" t="n">
        <v>6</v>
      </c>
      <c r="G44">
        <f>E44*F44</f>
        <v/>
      </c>
      <c r="H44" t="n">
        <v>0</v>
      </c>
      <c r="I44" t="inlineStr">
        <is>
          <t>Incluye ducto de extracción</t>
        </is>
      </c>
    </row>
    <row r="45">
      <c r="A45" t="inlineStr">
        <is>
          <t>Piso 2</t>
        </is>
      </c>
      <c r="B45" t="n">
        <v>3</v>
      </c>
      <c r="C45" t="inlineStr">
        <is>
          <t>Hall de ascensor y circulación</t>
        </is>
      </c>
      <c r="D45" t="inlineStr">
        <is>
          <t>Circulación vertical</t>
        </is>
      </c>
      <c r="E45" t="n">
        <v>1</v>
      </c>
      <c r="F45" t="n">
        <v>15</v>
      </c>
      <c r="G45">
        <f>E45*F45</f>
        <v/>
      </c>
      <c r="H45" t="n">
        <v>0</v>
      </c>
      <c r="I45" t="inlineStr"/>
    </row>
    <row r="46">
      <c r="A46" s="6" t="inlineStr">
        <is>
          <t>Piso 2</t>
        </is>
      </c>
      <c r="B46" s="6" t="n">
        <v>3</v>
      </c>
      <c r="C46" s="6" t="inlineStr">
        <is>
          <t>Subtotal área útil + circulación</t>
        </is>
      </c>
      <c r="D46" s="6" t="n"/>
      <c r="E46" s="6" t="n"/>
      <c r="F46" s="6" t="n"/>
      <c r="G46" s="6">
        <f>SUM(G37:G45)</f>
        <v/>
      </c>
      <c r="H46" s="6">
        <f>SUM(H37:H45)</f>
        <v/>
      </c>
      <c r="I46" s="6" t="inlineStr"/>
    </row>
    <row r="47">
      <c r="A47" s="6" t="inlineStr">
        <is>
          <t>Piso 2</t>
        </is>
      </c>
      <c r="B47" s="6" t="n">
        <v>3</v>
      </c>
      <c r="C47" s="6" t="inlineStr">
        <is>
          <t>Muros, columnas y tolerancia</t>
        </is>
      </c>
      <c r="D47" s="6" t="n"/>
      <c r="E47" s="6" t="n"/>
      <c r="F47" s="6" t="n"/>
      <c r="G47" s="6">
        <f>G48-G46</f>
        <v/>
      </c>
      <c r="H47" s="6" t="inlineStr"/>
      <c r="I47" s="6" t="inlineStr"/>
    </row>
    <row r="48">
      <c r="A48" s="3" t="inlineStr">
        <is>
          <t>Piso 2</t>
        </is>
      </c>
      <c r="B48" s="3" t="n">
        <v>3</v>
      </c>
      <c r="C48" s="3" t="inlineStr">
        <is>
          <t>ÁREA BRUTA DEL NIVEL (huella)</t>
        </is>
      </c>
      <c r="D48" s="3" t="n"/>
      <c r="E48" s="3" t="n"/>
      <c r="F48" s="3" t="n"/>
      <c r="G48" s="3" t="n">
        <v>403</v>
      </c>
      <c r="H48" s="3" t="inlineStr"/>
      <c r="I48" s="3" t="inlineStr"/>
    </row>
    <row r="49"/>
    <row r="50">
      <c r="A50" t="inlineStr">
        <is>
          <t>Piso 3</t>
        </is>
      </c>
      <c r="B50" t="n">
        <v>6</v>
      </c>
      <c r="C50" t="inlineStr">
        <is>
          <t>Laboratorio 2 (40 al.)</t>
        </is>
      </c>
      <c r="D50" t="inlineStr">
        <is>
          <t>Laboratorio</t>
        </is>
      </c>
      <c r="E50" t="n">
        <v>1</v>
      </c>
      <c r="F50" t="n">
        <v>200</v>
      </c>
      <c r="G50">
        <f>E50*F50</f>
        <v/>
      </c>
      <c r="H50" t="n">
        <v>40</v>
      </c>
      <c r="I50" t="inlineStr">
        <is>
          <t>5 m²/al.; ventilación natural + extracción</t>
        </is>
      </c>
    </row>
    <row r="51">
      <c r="A51" t="inlineStr">
        <is>
          <t>Piso 3</t>
        </is>
      </c>
      <c r="B51" t="n">
        <v>6</v>
      </c>
      <c r="C51" t="inlineStr">
        <is>
          <t>Vestidor con ducha</t>
        </is>
      </c>
      <c r="D51" t="inlineStr">
        <is>
          <t>Apoyo laboratorio</t>
        </is>
      </c>
      <c r="E51" t="n">
        <v>1</v>
      </c>
      <c r="F51" t="n">
        <v>20</v>
      </c>
      <c r="G51">
        <f>E51*F51</f>
        <v/>
      </c>
      <c r="H51" t="n">
        <v>0</v>
      </c>
      <c r="I51" t="inlineStr"/>
    </row>
    <row r="52">
      <c r="A52" t="inlineStr">
        <is>
          <t>Piso 3</t>
        </is>
      </c>
      <c r="B52" t="n">
        <v>6</v>
      </c>
      <c r="C52" t="inlineStr">
        <is>
          <t>Aula BIM (35 PC)</t>
        </is>
      </c>
      <c r="D52" t="inlineStr">
        <is>
          <t>Cómputo</t>
        </is>
      </c>
      <c r="E52" t="n">
        <v>1</v>
      </c>
      <c r="F52" t="n">
        <v>70</v>
      </c>
      <c r="G52">
        <f>E52*F52</f>
        <v/>
      </c>
      <c r="H52" t="n">
        <v>35</v>
      </c>
      <c r="I52" t="inlineStr">
        <is>
          <t>2 m²/PC</t>
        </is>
      </c>
    </row>
    <row r="53">
      <c r="A53" t="inlineStr">
        <is>
          <t>Piso 3</t>
        </is>
      </c>
      <c r="B53" t="n">
        <v>6</v>
      </c>
      <c r="C53" t="inlineStr">
        <is>
          <t>Escalera de evacuación protegida</t>
        </is>
      </c>
      <c r="D53" t="inlineStr">
        <is>
          <t>Circulación vertical</t>
        </is>
      </c>
      <c r="E53" t="n">
        <v>2</v>
      </c>
      <c r="F53" t="n">
        <v>16</v>
      </c>
      <c r="G53">
        <f>E53*F53</f>
        <v/>
      </c>
      <c r="H53" t="n">
        <v>0</v>
      </c>
      <c r="I53" t="inlineStr">
        <is>
          <t>Ancho libre ≥1.20 m, a prueba de humo</t>
        </is>
      </c>
    </row>
    <row r="54">
      <c r="A54" t="inlineStr">
        <is>
          <t>Piso 3</t>
        </is>
      </c>
      <c r="B54" t="n">
        <v>6</v>
      </c>
      <c r="C54" t="inlineStr">
        <is>
          <t>Ascensor accesible (cabina camilla)</t>
        </is>
      </c>
      <c r="D54" t="inlineStr">
        <is>
          <t>Circulación vertical</t>
        </is>
      </c>
      <c r="E54" t="n">
        <v>1</v>
      </c>
      <c r="F54" t="n">
        <v>7</v>
      </c>
      <c r="G54">
        <f>E54*F54</f>
        <v/>
      </c>
      <c r="H54" t="n">
        <v>0</v>
      </c>
      <c r="I54" t="inlineStr">
        <is>
          <t>Acceso universal RNE A.120</t>
        </is>
      </c>
    </row>
    <row r="55">
      <c r="A55" t="inlineStr">
        <is>
          <t>Piso 3</t>
        </is>
      </c>
      <c r="B55" t="n">
        <v>6</v>
      </c>
      <c r="C55" t="inlineStr">
        <is>
          <t>SS.HH. hombres/mujeres/accesible</t>
        </is>
      </c>
      <c r="D55" t="inlineStr">
        <is>
          <t>Servicios</t>
        </is>
      </c>
      <c r="E55" t="n">
        <v>1</v>
      </c>
      <c r="F55" t="n">
        <v>20</v>
      </c>
      <c r="G55">
        <f>E55*F55</f>
        <v/>
      </c>
      <c r="H55" t="n">
        <v>0</v>
      </c>
      <c r="I55" t="inlineStr">
        <is>
          <t>Según aforo del nivel</t>
        </is>
      </c>
    </row>
    <row r="56">
      <c r="A56" t="inlineStr">
        <is>
          <t>Piso 3</t>
        </is>
      </c>
      <c r="B56" t="n">
        <v>6</v>
      </c>
      <c r="C56" t="inlineStr">
        <is>
          <t>Ductos de instalaciones y ventilación</t>
        </is>
      </c>
      <c r="D56" t="inlineStr">
        <is>
          <t>Servicios</t>
        </is>
      </c>
      <c r="E56" t="n">
        <v>1</v>
      </c>
      <c r="F56" t="n">
        <v>6</v>
      </c>
      <c r="G56">
        <f>E56*F56</f>
        <v/>
      </c>
      <c r="H56" t="n">
        <v>0</v>
      </c>
      <c r="I56" t="inlineStr">
        <is>
          <t>Incluye ducto de extracción</t>
        </is>
      </c>
    </row>
    <row r="57">
      <c r="A57" t="inlineStr">
        <is>
          <t>Piso 3</t>
        </is>
      </c>
      <c r="B57" t="n">
        <v>6</v>
      </c>
      <c r="C57" t="inlineStr">
        <is>
          <t>Hall de ascensor y circulación</t>
        </is>
      </c>
      <c r="D57" t="inlineStr">
        <is>
          <t>Circulación vertical</t>
        </is>
      </c>
      <c r="E57" t="n">
        <v>1</v>
      </c>
      <c r="F57" t="n">
        <v>15</v>
      </c>
      <c r="G57">
        <f>E57*F57</f>
        <v/>
      </c>
      <c r="H57" t="n">
        <v>0</v>
      </c>
      <c r="I57" t="inlineStr"/>
    </row>
    <row r="58">
      <c r="A58" s="6" t="inlineStr">
        <is>
          <t>Piso 3</t>
        </is>
      </c>
      <c r="B58" s="6" t="n">
        <v>6</v>
      </c>
      <c r="C58" s="6" t="inlineStr">
        <is>
          <t>Subtotal área útil + circulación</t>
        </is>
      </c>
      <c r="D58" s="6" t="n"/>
      <c r="E58" s="6" t="n"/>
      <c r="F58" s="6" t="n"/>
      <c r="G58" s="6">
        <f>SUM(G49:G57)</f>
        <v/>
      </c>
      <c r="H58" s="6">
        <f>SUM(H49:H57)</f>
        <v/>
      </c>
      <c r="I58" s="6" t="inlineStr"/>
    </row>
    <row r="59">
      <c r="A59" s="6" t="inlineStr">
        <is>
          <t>Piso 3</t>
        </is>
      </c>
      <c r="B59" s="6" t="n">
        <v>6</v>
      </c>
      <c r="C59" s="6" t="inlineStr">
        <is>
          <t>Muros, columnas y tolerancia</t>
        </is>
      </c>
      <c r="D59" s="6" t="n"/>
      <c r="E59" s="6" t="n"/>
      <c r="F59" s="6" t="n"/>
      <c r="G59" s="6">
        <f>G60-G58</f>
        <v/>
      </c>
      <c r="H59" s="6" t="inlineStr"/>
      <c r="I59" s="6" t="inlineStr"/>
    </row>
    <row r="60">
      <c r="A60" s="3" t="inlineStr">
        <is>
          <t>Piso 3</t>
        </is>
      </c>
      <c r="B60" s="3" t="n">
        <v>6</v>
      </c>
      <c r="C60" s="3" t="inlineStr">
        <is>
          <t>ÁREA BRUTA DEL NIVEL (huella)</t>
        </is>
      </c>
      <c r="D60" s="3" t="n"/>
      <c r="E60" s="3" t="n"/>
      <c r="F60" s="3" t="n"/>
      <c r="G60" s="3" t="n">
        <v>403</v>
      </c>
      <c r="H60" s="3" t="inlineStr"/>
      <c r="I60" s="3" t="inlineStr"/>
    </row>
    <row r="61"/>
    <row r="62">
      <c r="A62" t="inlineStr">
        <is>
          <t>Piso 4</t>
        </is>
      </c>
      <c r="B62" t="n">
        <v>9</v>
      </c>
      <c r="C62" t="inlineStr">
        <is>
          <t>Laboratorio 3 (40 al.)</t>
        </is>
      </c>
      <c r="D62" t="inlineStr">
        <is>
          <t>Laboratorio</t>
        </is>
      </c>
      <c r="E62" t="n">
        <v>1</v>
      </c>
      <c r="F62" t="n">
        <v>200</v>
      </c>
      <c r="G62">
        <f>E62*F62</f>
        <v/>
      </c>
      <c r="H62" t="n">
        <v>40</v>
      </c>
      <c r="I62" t="inlineStr">
        <is>
          <t>5 m²/al.; ventilación natural + extracción</t>
        </is>
      </c>
    </row>
    <row r="63">
      <c r="A63" t="inlineStr">
        <is>
          <t>Piso 4</t>
        </is>
      </c>
      <c r="B63" t="n">
        <v>9</v>
      </c>
      <c r="C63" t="inlineStr">
        <is>
          <t>Vestidor con ducha</t>
        </is>
      </c>
      <c r="D63" t="inlineStr">
        <is>
          <t>Apoyo laboratorio</t>
        </is>
      </c>
      <c r="E63" t="n">
        <v>1</v>
      </c>
      <c r="F63" t="n">
        <v>20</v>
      </c>
      <c r="G63">
        <f>E63*F63</f>
        <v/>
      </c>
      <c r="H63" t="n">
        <v>0</v>
      </c>
      <c r="I63" t="inlineStr"/>
    </row>
    <row r="64">
      <c r="A64" t="inlineStr">
        <is>
          <t>Piso 4</t>
        </is>
      </c>
      <c r="B64" t="n">
        <v>9</v>
      </c>
      <c r="C64" t="inlineStr">
        <is>
          <t>Oficina de laboratorios</t>
        </is>
      </c>
      <c r="D64" t="inlineStr">
        <is>
          <t>Administración</t>
        </is>
      </c>
      <c r="E64" t="n">
        <v>1</v>
      </c>
      <c r="F64" t="n">
        <v>20</v>
      </c>
      <c r="G64">
        <f>E64*F64</f>
        <v/>
      </c>
      <c r="H64" t="n">
        <v>3</v>
      </c>
      <c r="I64" t="inlineStr"/>
    </row>
    <row r="65">
      <c r="A65" t="inlineStr">
        <is>
          <t>Piso 4</t>
        </is>
      </c>
      <c r="B65" t="n">
        <v>9</v>
      </c>
      <c r="C65" t="inlineStr">
        <is>
          <t>Depósito con impresoras 2D/3D</t>
        </is>
      </c>
      <c r="D65" t="inlineStr">
        <is>
          <t>Depósito</t>
        </is>
      </c>
      <c r="E65" t="n">
        <v>1</v>
      </c>
      <c r="F65" t="n">
        <v>25</v>
      </c>
      <c r="G65">
        <f>E65*F65</f>
        <v/>
      </c>
      <c r="H65" t="n">
        <v>0</v>
      </c>
      <c r="I65" t="inlineStr">
        <is>
          <t>Ventilado, tomas dedicadas</t>
        </is>
      </c>
    </row>
    <row r="66">
      <c r="A66" t="inlineStr">
        <is>
          <t>Piso 4</t>
        </is>
      </c>
      <c r="B66" t="n">
        <v>9</v>
      </c>
      <c r="C66" t="inlineStr">
        <is>
          <t>Escalera de evacuación protegida</t>
        </is>
      </c>
      <c r="D66" t="inlineStr">
        <is>
          <t>Circulación vertical</t>
        </is>
      </c>
      <c r="E66" t="n">
        <v>2</v>
      </c>
      <c r="F66" t="n">
        <v>16</v>
      </c>
      <c r="G66">
        <f>E66*F66</f>
        <v/>
      </c>
      <c r="H66" t="n">
        <v>0</v>
      </c>
      <c r="I66" t="inlineStr">
        <is>
          <t>Ancho libre ≥1.20 m, a prueba de humo</t>
        </is>
      </c>
    </row>
    <row r="67">
      <c r="A67" t="inlineStr">
        <is>
          <t>Piso 4</t>
        </is>
      </c>
      <c r="B67" t="n">
        <v>9</v>
      </c>
      <c r="C67" t="inlineStr">
        <is>
          <t>Ascensor accesible (cabina camilla)</t>
        </is>
      </c>
      <c r="D67" t="inlineStr">
        <is>
          <t>Circulación vertical</t>
        </is>
      </c>
      <c r="E67" t="n">
        <v>1</v>
      </c>
      <c r="F67" t="n">
        <v>7</v>
      </c>
      <c r="G67">
        <f>E67*F67</f>
        <v/>
      </c>
      <c r="H67" t="n">
        <v>0</v>
      </c>
      <c r="I67" t="inlineStr">
        <is>
          <t>Acceso universal RNE A.120</t>
        </is>
      </c>
    </row>
    <row r="68">
      <c r="A68" t="inlineStr">
        <is>
          <t>Piso 4</t>
        </is>
      </c>
      <c r="B68" t="n">
        <v>9</v>
      </c>
      <c r="C68" t="inlineStr">
        <is>
          <t>SS.HH. hombres/mujeres/accesible</t>
        </is>
      </c>
      <c r="D68" t="inlineStr">
        <is>
          <t>Servicios</t>
        </is>
      </c>
      <c r="E68" t="n">
        <v>1</v>
      </c>
      <c r="F68" t="n">
        <v>20</v>
      </c>
      <c r="G68">
        <f>E68*F68</f>
        <v/>
      </c>
      <c r="H68" t="n">
        <v>0</v>
      </c>
      <c r="I68" t="inlineStr">
        <is>
          <t>Según aforo del nivel</t>
        </is>
      </c>
    </row>
    <row r="69">
      <c r="A69" t="inlineStr">
        <is>
          <t>Piso 4</t>
        </is>
      </c>
      <c r="B69" t="n">
        <v>9</v>
      </c>
      <c r="C69" t="inlineStr">
        <is>
          <t>Ductos de instalaciones y ventilación</t>
        </is>
      </c>
      <c r="D69" t="inlineStr">
        <is>
          <t>Servicios</t>
        </is>
      </c>
      <c r="E69" t="n">
        <v>1</v>
      </c>
      <c r="F69" t="n">
        <v>6</v>
      </c>
      <c r="G69">
        <f>E69*F69</f>
        <v/>
      </c>
      <c r="H69" t="n">
        <v>0</v>
      </c>
      <c r="I69" t="inlineStr">
        <is>
          <t>Incluye ducto de extracción</t>
        </is>
      </c>
    </row>
    <row r="70">
      <c r="A70" t="inlineStr">
        <is>
          <t>Piso 4</t>
        </is>
      </c>
      <c r="B70" t="n">
        <v>9</v>
      </c>
      <c r="C70" t="inlineStr">
        <is>
          <t>Hall de ascensor y circulación</t>
        </is>
      </c>
      <c r="D70" t="inlineStr">
        <is>
          <t>Circulación vertical</t>
        </is>
      </c>
      <c r="E70" t="n">
        <v>1</v>
      </c>
      <c r="F70" t="n">
        <v>15</v>
      </c>
      <c r="G70">
        <f>E70*F70</f>
        <v/>
      </c>
      <c r="H70" t="n">
        <v>0</v>
      </c>
      <c r="I70" t="inlineStr"/>
    </row>
    <row r="71">
      <c r="A71" s="6" t="inlineStr">
        <is>
          <t>Piso 4</t>
        </is>
      </c>
      <c r="B71" s="6" t="n">
        <v>9</v>
      </c>
      <c r="C71" s="6" t="inlineStr">
        <is>
          <t>Subtotal área útil + circulación</t>
        </is>
      </c>
      <c r="D71" s="6" t="n"/>
      <c r="E71" s="6" t="n"/>
      <c r="F71" s="6" t="n"/>
      <c r="G71" s="6">
        <f>SUM(G61:G70)</f>
        <v/>
      </c>
      <c r="H71" s="6">
        <f>SUM(H61:H70)</f>
        <v/>
      </c>
      <c r="I71" s="6" t="inlineStr"/>
    </row>
    <row r="72">
      <c r="A72" s="6" t="inlineStr">
        <is>
          <t>Piso 4</t>
        </is>
      </c>
      <c r="B72" s="6" t="n">
        <v>9</v>
      </c>
      <c r="C72" s="6" t="inlineStr">
        <is>
          <t>Muros, columnas y tolerancia</t>
        </is>
      </c>
      <c r="D72" s="6" t="n"/>
      <c r="E72" s="6" t="n"/>
      <c r="F72" s="6" t="n"/>
      <c r="G72" s="6">
        <f>G73-G71</f>
        <v/>
      </c>
      <c r="H72" s="6" t="inlineStr"/>
      <c r="I72" s="6" t="inlineStr"/>
    </row>
    <row r="73">
      <c r="A73" s="3" t="inlineStr">
        <is>
          <t>Piso 4</t>
        </is>
      </c>
      <c r="B73" s="3" t="n">
        <v>9</v>
      </c>
      <c r="C73" s="3" t="inlineStr">
        <is>
          <t>ÁREA BRUTA DEL NIVEL (huella)</t>
        </is>
      </c>
      <c r="D73" s="3" t="n"/>
      <c r="E73" s="3" t="n"/>
      <c r="F73" s="3" t="n"/>
      <c r="G73" s="3" t="n">
        <v>403</v>
      </c>
      <c r="H73" s="3" t="inlineStr"/>
      <c r="I73" s="3" t="inlineStr"/>
    </row>
    <row r="74"/>
    <row r="75">
      <c r="A75" t="inlineStr">
        <is>
          <t>Piso 5</t>
        </is>
      </c>
      <c r="B75" t="n">
        <v>12</v>
      </c>
      <c r="C75" t="inlineStr">
        <is>
          <t>Aula taller (40 al., 5 mesas 1.2x1.5 + ecran)</t>
        </is>
      </c>
      <c r="D75" t="inlineStr">
        <is>
          <t>Taller</t>
        </is>
      </c>
      <c r="E75" t="n">
        <v>1</v>
      </c>
      <c r="F75" t="n">
        <v>200</v>
      </c>
      <c r="G75">
        <f>E75*F75</f>
        <v/>
      </c>
      <c r="H75" t="n">
        <v>40</v>
      </c>
      <c r="I75" t="inlineStr">
        <is>
          <t>5 m²/al.</t>
        </is>
      </c>
    </row>
    <row r="76">
      <c r="A76" t="inlineStr">
        <is>
          <t>Piso 5</t>
        </is>
      </c>
      <c r="B76" t="n">
        <v>12</v>
      </c>
      <c r="C76" t="inlineStr">
        <is>
          <t>Oficina del taller (junto al aula)</t>
        </is>
      </c>
      <c r="D76" t="inlineStr">
        <is>
          <t>Taller</t>
        </is>
      </c>
      <c r="E76" t="n">
        <v>1</v>
      </c>
      <c r="F76" t="n">
        <v>15</v>
      </c>
      <c r="G76">
        <f>E76*F76</f>
        <v/>
      </c>
      <c r="H76" t="n">
        <v>2</v>
      </c>
      <c r="I76" t="inlineStr"/>
    </row>
    <row r="77">
      <c r="A77" t="inlineStr">
        <is>
          <t>Piso 5</t>
        </is>
      </c>
      <c r="B77" t="n">
        <v>12</v>
      </c>
      <c r="C77" t="inlineStr">
        <is>
          <t>Depósito del taller</t>
        </is>
      </c>
      <c r="D77" t="inlineStr">
        <is>
          <t>Taller</t>
        </is>
      </c>
      <c r="E77" t="n">
        <v>1</v>
      </c>
      <c r="F77" t="n">
        <v>25</v>
      </c>
      <c r="G77">
        <f>E77*F77</f>
        <v/>
      </c>
      <c r="H77" t="n">
        <v>0</v>
      </c>
      <c r="I77" t="inlineStr"/>
    </row>
    <row r="78">
      <c r="A78" t="inlineStr">
        <is>
          <t>Piso 5</t>
        </is>
      </c>
      <c r="B78" t="n">
        <v>12</v>
      </c>
      <c r="C78" t="inlineStr">
        <is>
          <t>Sala de docentes</t>
        </is>
      </c>
      <c r="D78" t="inlineStr">
        <is>
          <t>Administración</t>
        </is>
      </c>
      <c r="E78" t="n">
        <v>1</v>
      </c>
      <c r="F78" t="n">
        <v>40</v>
      </c>
      <c r="G78">
        <f>E78*F78</f>
        <v/>
      </c>
      <c r="H78" t="n">
        <v>10</v>
      </c>
      <c r="I78" t="inlineStr"/>
    </row>
    <row r="79">
      <c r="A79" t="inlineStr">
        <is>
          <t>Piso 5</t>
        </is>
      </c>
      <c r="B79" t="n">
        <v>12</v>
      </c>
      <c r="C79" t="inlineStr">
        <is>
          <t>Escalera de evacuación protegida</t>
        </is>
      </c>
      <c r="D79" t="inlineStr">
        <is>
          <t>Circulación vertical</t>
        </is>
      </c>
      <c r="E79" t="n">
        <v>2</v>
      </c>
      <c r="F79" t="n">
        <v>16</v>
      </c>
      <c r="G79">
        <f>E79*F79</f>
        <v/>
      </c>
      <c r="H79" t="n">
        <v>0</v>
      </c>
      <c r="I79" t="inlineStr">
        <is>
          <t>Ancho libre ≥1.20 m, a prueba de humo</t>
        </is>
      </c>
    </row>
    <row r="80">
      <c r="A80" t="inlineStr">
        <is>
          <t>Piso 5</t>
        </is>
      </c>
      <c r="B80" t="n">
        <v>12</v>
      </c>
      <c r="C80" t="inlineStr">
        <is>
          <t>Ascensor accesible (cabina camilla)</t>
        </is>
      </c>
      <c r="D80" t="inlineStr">
        <is>
          <t>Circulación vertical</t>
        </is>
      </c>
      <c r="E80" t="n">
        <v>1</v>
      </c>
      <c r="F80" t="n">
        <v>7</v>
      </c>
      <c r="G80">
        <f>E80*F80</f>
        <v/>
      </c>
      <c r="H80" t="n">
        <v>0</v>
      </c>
      <c r="I80" t="inlineStr">
        <is>
          <t>Acceso universal RNE A.120</t>
        </is>
      </c>
    </row>
    <row r="81">
      <c r="A81" t="inlineStr">
        <is>
          <t>Piso 5</t>
        </is>
      </c>
      <c r="B81" t="n">
        <v>12</v>
      </c>
      <c r="C81" t="inlineStr">
        <is>
          <t>SS.HH. hombres/mujeres/accesible</t>
        </is>
      </c>
      <c r="D81" t="inlineStr">
        <is>
          <t>Servicios</t>
        </is>
      </c>
      <c r="E81" t="n">
        <v>1</v>
      </c>
      <c r="F81" t="n">
        <v>20</v>
      </c>
      <c r="G81">
        <f>E81*F81</f>
        <v/>
      </c>
      <c r="H81" t="n">
        <v>0</v>
      </c>
      <c r="I81" t="inlineStr">
        <is>
          <t>Según aforo del nivel</t>
        </is>
      </c>
    </row>
    <row r="82">
      <c r="A82" t="inlineStr">
        <is>
          <t>Piso 5</t>
        </is>
      </c>
      <c r="B82" t="n">
        <v>12</v>
      </c>
      <c r="C82" t="inlineStr">
        <is>
          <t>Ductos de instalaciones y ventilación</t>
        </is>
      </c>
      <c r="D82" t="inlineStr">
        <is>
          <t>Servicios</t>
        </is>
      </c>
      <c r="E82" t="n">
        <v>1</v>
      </c>
      <c r="F82" t="n">
        <v>6</v>
      </c>
      <c r="G82">
        <f>E82*F82</f>
        <v/>
      </c>
      <c r="H82" t="n">
        <v>0</v>
      </c>
      <c r="I82" t="inlineStr">
        <is>
          <t>Incluye ducto de extracción</t>
        </is>
      </c>
    </row>
    <row r="83">
      <c r="A83" t="inlineStr">
        <is>
          <t>Piso 5</t>
        </is>
      </c>
      <c r="B83" t="n">
        <v>12</v>
      </c>
      <c r="C83" t="inlineStr">
        <is>
          <t>Hall de ascensor y circulación</t>
        </is>
      </c>
      <c r="D83" t="inlineStr">
        <is>
          <t>Circulación vertical</t>
        </is>
      </c>
      <c r="E83" t="n">
        <v>1</v>
      </c>
      <c r="F83" t="n">
        <v>15</v>
      </c>
      <c r="G83">
        <f>E83*F83</f>
        <v/>
      </c>
      <c r="H83" t="n">
        <v>0</v>
      </c>
      <c r="I83" t="inlineStr"/>
    </row>
    <row r="84">
      <c r="A84" s="6" t="inlineStr">
        <is>
          <t>Piso 5</t>
        </is>
      </c>
      <c r="B84" s="6" t="n">
        <v>12</v>
      </c>
      <c r="C84" s="6" t="inlineStr">
        <is>
          <t>Subtotal área útil + circulación</t>
        </is>
      </c>
      <c r="D84" s="6" t="n"/>
      <c r="E84" s="6" t="n"/>
      <c r="F84" s="6" t="n"/>
      <c r="G84" s="6">
        <f>SUM(G74:G83)</f>
        <v/>
      </c>
      <c r="H84" s="6">
        <f>SUM(H74:H83)</f>
        <v/>
      </c>
      <c r="I84" s="6" t="inlineStr"/>
    </row>
    <row r="85">
      <c r="A85" s="6" t="inlineStr">
        <is>
          <t>Piso 5</t>
        </is>
      </c>
      <c r="B85" s="6" t="n">
        <v>12</v>
      </c>
      <c r="C85" s="6" t="inlineStr">
        <is>
          <t>Muros, columnas y tolerancia</t>
        </is>
      </c>
      <c r="D85" s="6" t="n"/>
      <c r="E85" s="6" t="n"/>
      <c r="F85" s="6" t="n"/>
      <c r="G85" s="6">
        <f>G86-G84</f>
        <v/>
      </c>
      <c r="H85" s="6" t="inlineStr"/>
      <c r="I85" s="6" t="inlineStr"/>
    </row>
    <row r="86">
      <c r="A86" s="3" t="inlineStr">
        <is>
          <t>Piso 5</t>
        </is>
      </c>
      <c r="B86" s="3" t="n">
        <v>12</v>
      </c>
      <c r="C86" s="3" t="inlineStr">
        <is>
          <t>ÁREA BRUTA DEL NIVEL (huella)</t>
        </is>
      </c>
      <c r="D86" s="3" t="n"/>
      <c r="E86" s="3" t="n"/>
      <c r="F86" s="3" t="n"/>
      <c r="G86" s="3" t="n">
        <v>403</v>
      </c>
      <c r="H86" s="3" t="inlineStr"/>
      <c r="I86" s="3" t="inlineStr"/>
    </row>
    <row r="87"/>
    <row r="88">
      <c r="A88" t="inlineStr">
        <is>
          <t>Piso 6</t>
        </is>
      </c>
      <c r="B88" t="n">
        <v>15</v>
      </c>
      <c r="C88" t="inlineStr">
        <is>
          <t>Aula teórica (40 al.)</t>
        </is>
      </c>
      <c r="D88" t="inlineStr">
        <is>
          <t>Aula</t>
        </is>
      </c>
      <c r="E88" t="n">
        <v>3</v>
      </c>
      <c r="F88" t="n">
        <v>60</v>
      </c>
      <c r="G88">
        <f>E88*F88</f>
        <v/>
      </c>
      <c r="H88" t="n">
        <v>40</v>
      </c>
      <c r="I88" t="inlineStr">
        <is>
          <t>1.5 m²/al.</t>
        </is>
      </c>
    </row>
    <row r="89">
      <c r="A89" t="inlineStr">
        <is>
          <t>Piso 6</t>
        </is>
      </c>
      <c r="B89" t="n">
        <v>15</v>
      </c>
      <c r="C89" t="inlineStr">
        <is>
          <t>Sala de reuniones docentes</t>
        </is>
      </c>
      <c r="D89" t="inlineStr">
        <is>
          <t>Administración</t>
        </is>
      </c>
      <c r="E89" t="n">
        <v>1</v>
      </c>
      <c r="F89" t="n">
        <v>30</v>
      </c>
      <c r="G89">
        <f>E89*F89</f>
        <v/>
      </c>
      <c r="H89" t="n">
        <v>12</v>
      </c>
      <c r="I89" t="inlineStr"/>
    </row>
    <row r="90">
      <c r="A90" t="inlineStr">
        <is>
          <t>Piso 6</t>
        </is>
      </c>
      <c r="B90" t="n">
        <v>15</v>
      </c>
      <c r="C90" t="inlineStr">
        <is>
          <t>Escalera de evacuación protegida</t>
        </is>
      </c>
      <c r="D90" t="inlineStr">
        <is>
          <t>Circulación vertical</t>
        </is>
      </c>
      <c r="E90" t="n">
        <v>2</v>
      </c>
      <c r="F90" t="n">
        <v>16</v>
      </c>
      <c r="G90">
        <f>E90*F90</f>
        <v/>
      </c>
      <c r="H90" t="n">
        <v>0</v>
      </c>
      <c r="I90" t="inlineStr">
        <is>
          <t>Ancho libre ≥1.20 m, a prueba de humo</t>
        </is>
      </c>
    </row>
    <row r="91">
      <c r="A91" t="inlineStr">
        <is>
          <t>Piso 6</t>
        </is>
      </c>
      <c r="B91" t="n">
        <v>15</v>
      </c>
      <c r="C91" t="inlineStr">
        <is>
          <t>Ascensor accesible (cabina camilla)</t>
        </is>
      </c>
      <c r="D91" t="inlineStr">
        <is>
          <t>Circulación vertical</t>
        </is>
      </c>
      <c r="E91" t="n">
        <v>1</v>
      </c>
      <c r="F91" t="n">
        <v>7</v>
      </c>
      <c r="G91">
        <f>E91*F91</f>
        <v/>
      </c>
      <c r="H91" t="n">
        <v>0</v>
      </c>
      <c r="I91" t="inlineStr">
        <is>
          <t>Acceso universal RNE A.120</t>
        </is>
      </c>
    </row>
    <row r="92">
      <c r="A92" t="inlineStr">
        <is>
          <t>Piso 6</t>
        </is>
      </c>
      <c r="B92" t="n">
        <v>15</v>
      </c>
      <c r="C92" t="inlineStr">
        <is>
          <t>SS.HH. hombres/mujeres/accesible</t>
        </is>
      </c>
      <c r="D92" t="inlineStr">
        <is>
          <t>Servicios</t>
        </is>
      </c>
      <c r="E92" t="n">
        <v>1</v>
      </c>
      <c r="F92" t="n">
        <v>20</v>
      </c>
      <c r="G92">
        <f>E92*F92</f>
        <v/>
      </c>
      <c r="H92" t="n">
        <v>0</v>
      </c>
      <c r="I92" t="inlineStr">
        <is>
          <t>Según aforo del nivel</t>
        </is>
      </c>
    </row>
    <row r="93">
      <c r="A93" t="inlineStr">
        <is>
          <t>Piso 6</t>
        </is>
      </c>
      <c r="B93" t="n">
        <v>15</v>
      </c>
      <c r="C93" t="inlineStr">
        <is>
          <t>Ductos de instalaciones y ventilación</t>
        </is>
      </c>
      <c r="D93" t="inlineStr">
        <is>
          <t>Servicios</t>
        </is>
      </c>
      <c r="E93" t="n">
        <v>1</v>
      </c>
      <c r="F93" t="n">
        <v>6</v>
      </c>
      <c r="G93">
        <f>E93*F93</f>
        <v/>
      </c>
      <c r="H93" t="n">
        <v>0</v>
      </c>
      <c r="I93" t="inlineStr">
        <is>
          <t>Incluye ducto de extracción</t>
        </is>
      </c>
    </row>
    <row r="94">
      <c r="A94" t="inlineStr">
        <is>
          <t>Piso 6</t>
        </is>
      </c>
      <c r="B94" t="n">
        <v>15</v>
      </c>
      <c r="C94" t="inlineStr">
        <is>
          <t>Hall de ascensor y circulación</t>
        </is>
      </c>
      <c r="D94" t="inlineStr">
        <is>
          <t>Circulación vertical</t>
        </is>
      </c>
      <c r="E94" t="n">
        <v>1</v>
      </c>
      <c r="F94" t="n">
        <v>15</v>
      </c>
      <c r="G94">
        <f>E94*F94</f>
        <v/>
      </c>
      <c r="H94" t="n">
        <v>0</v>
      </c>
      <c r="I94" t="inlineStr"/>
    </row>
    <row r="95">
      <c r="A95" s="6" t="inlineStr">
        <is>
          <t>Piso 6</t>
        </is>
      </c>
      <c r="B95" s="6" t="n">
        <v>15</v>
      </c>
      <c r="C95" s="6" t="inlineStr">
        <is>
          <t>Subtotal área útil + circulación</t>
        </is>
      </c>
      <c r="D95" s="6" t="n"/>
      <c r="E95" s="6" t="n"/>
      <c r="F95" s="6" t="n"/>
      <c r="G95" s="6">
        <f>SUM(G87:G94)</f>
        <v/>
      </c>
      <c r="H95" s="6">
        <f>SUM(H87:H94)</f>
        <v/>
      </c>
      <c r="I95" s="6" t="inlineStr"/>
    </row>
    <row r="96">
      <c r="A96" s="6" t="inlineStr">
        <is>
          <t>Piso 6</t>
        </is>
      </c>
      <c r="B96" s="6" t="n">
        <v>15</v>
      </c>
      <c r="C96" s="6" t="inlineStr">
        <is>
          <t>Muros, columnas y tolerancia</t>
        </is>
      </c>
      <c r="D96" s="6" t="n"/>
      <c r="E96" s="6" t="n"/>
      <c r="F96" s="6" t="n"/>
      <c r="G96" s="6">
        <f>G97-G95</f>
        <v/>
      </c>
      <c r="H96" s="6" t="inlineStr"/>
      <c r="I96" s="6" t="inlineStr"/>
    </row>
    <row r="97">
      <c r="A97" s="3" t="inlineStr">
        <is>
          <t>Piso 6</t>
        </is>
      </c>
      <c r="B97" s="3" t="n">
        <v>15</v>
      </c>
      <c r="C97" s="3" t="inlineStr">
        <is>
          <t>ÁREA BRUTA DEL NIVEL (huella)</t>
        </is>
      </c>
      <c r="D97" s="3" t="n"/>
      <c r="E97" s="3" t="n"/>
      <c r="F97" s="3" t="n"/>
      <c r="G97" s="3" t="n">
        <v>403</v>
      </c>
      <c r="H97" s="3" t="inlineStr"/>
      <c r="I97" s="3" t="inlineStr"/>
    </row>
    <row r="98"/>
    <row r="99">
      <c r="A99" t="inlineStr">
        <is>
          <t>Piso 7</t>
        </is>
      </c>
      <c r="B99" t="n">
        <v>18</v>
      </c>
      <c r="C99" t="inlineStr">
        <is>
          <t>Aula magna (60 personas)</t>
        </is>
      </c>
      <c r="D99" t="inlineStr">
        <is>
          <t>Aula magna</t>
        </is>
      </c>
      <c r="E99" t="n">
        <v>1</v>
      </c>
      <c r="F99" t="n">
        <v>90</v>
      </c>
      <c r="G99">
        <f>E99*F99</f>
        <v/>
      </c>
      <c r="H99" t="n">
        <v>60</v>
      </c>
      <c r="I99" t="inlineStr">
        <is>
          <t>Ventilación natural + extracción</t>
        </is>
      </c>
    </row>
    <row r="100">
      <c r="A100" t="inlineStr">
        <is>
          <t>Piso 7</t>
        </is>
      </c>
      <c r="B100" t="n">
        <v>18</v>
      </c>
      <c r="C100" t="inlineStr">
        <is>
          <t>Escenario y cabina</t>
        </is>
      </c>
      <c r="D100" t="inlineStr">
        <is>
          <t>Aula magna</t>
        </is>
      </c>
      <c r="E100" t="n">
        <v>1</v>
      </c>
      <c r="F100" t="n">
        <v>25</v>
      </c>
      <c r="G100">
        <f>E100*F100</f>
        <v/>
      </c>
      <c r="H100" t="n">
        <v>0</v>
      </c>
      <c r="I100" t="inlineStr"/>
    </row>
    <row r="101">
      <c r="A101" t="inlineStr">
        <is>
          <t>Piso 7</t>
        </is>
      </c>
      <c r="B101" t="n">
        <v>18</v>
      </c>
      <c r="C101" t="inlineStr">
        <is>
          <t>Foyer</t>
        </is>
      </c>
      <c r="D101" t="inlineStr">
        <is>
          <t>Circulación</t>
        </is>
      </c>
      <c r="E101" t="n">
        <v>1</v>
      </c>
      <c r="F101" t="n">
        <v>40</v>
      </c>
      <c r="G101">
        <f>E101*F101</f>
        <v/>
      </c>
      <c r="H101" t="n">
        <v>0</v>
      </c>
      <c r="I101" t="inlineStr"/>
    </row>
    <row r="102">
      <c r="A102" t="inlineStr">
        <is>
          <t>Piso 7</t>
        </is>
      </c>
      <c r="B102" t="n">
        <v>18</v>
      </c>
      <c r="C102" t="inlineStr">
        <is>
          <t>Depósito</t>
        </is>
      </c>
      <c r="D102" t="inlineStr">
        <is>
          <t>Depósito</t>
        </is>
      </c>
      <c r="E102" t="n">
        <v>1</v>
      </c>
      <c r="F102" t="n">
        <v>15</v>
      </c>
      <c r="G102">
        <f>E102*F102</f>
        <v/>
      </c>
      <c r="H102" t="n">
        <v>0</v>
      </c>
      <c r="I102" t="inlineStr"/>
    </row>
    <row r="103">
      <c r="A103" t="inlineStr">
        <is>
          <t>Piso 7</t>
        </is>
      </c>
      <c r="B103" t="n">
        <v>18</v>
      </c>
      <c r="C103" t="inlineStr">
        <is>
          <t>Terraza (área libre, no techada)</t>
        </is>
      </c>
      <c r="D103" t="inlineStr">
        <is>
          <t>Área libre</t>
        </is>
      </c>
      <c r="E103" t="n">
        <v>1</v>
      </c>
      <c r="F103" t="n">
        <v>120</v>
      </c>
      <c r="G103">
        <f>E103*F103</f>
        <v/>
      </c>
      <c r="H103" t="n">
        <v>0</v>
      </c>
      <c r="I103" t="inlineStr"/>
    </row>
    <row r="104">
      <c r="A104" t="inlineStr">
        <is>
          <t>Piso 7</t>
        </is>
      </c>
      <c r="B104" t="n">
        <v>18</v>
      </c>
      <c r="C104" t="inlineStr">
        <is>
          <t>Escalera de evacuación protegida</t>
        </is>
      </c>
      <c r="D104" t="inlineStr">
        <is>
          <t>Circulación vertical</t>
        </is>
      </c>
      <c r="E104" t="n">
        <v>2</v>
      </c>
      <c r="F104" t="n">
        <v>16</v>
      </c>
      <c r="G104">
        <f>E104*F104</f>
        <v/>
      </c>
      <c r="H104" t="n">
        <v>0</v>
      </c>
      <c r="I104" t="inlineStr">
        <is>
          <t>Ancho libre ≥1.20 m, a prueba de humo</t>
        </is>
      </c>
    </row>
    <row r="105">
      <c r="A105" t="inlineStr">
        <is>
          <t>Piso 7</t>
        </is>
      </c>
      <c r="B105" t="n">
        <v>18</v>
      </c>
      <c r="C105" t="inlineStr">
        <is>
          <t>Ascensor accesible (cabina camilla)</t>
        </is>
      </c>
      <c r="D105" t="inlineStr">
        <is>
          <t>Circulación vertical</t>
        </is>
      </c>
      <c r="E105" t="n">
        <v>1</v>
      </c>
      <c r="F105" t="n">
        <v>7</v>
      </c>
      <c r="G105">
        <f>E105*F105</f>
        <v/>
      </c>
      <c r="H105" t="n">
        <v>0</v>
      </c>
      <c r="I105" t="inlineStr">
        <is>
          <t>Acceso universal RNE A.120</t>
        </is>
      </c>
    </row>
    <row r="106">
      <c r="A106" t="inlineStr">
        <is>
          <t>Piso 7</t>
        </is>
      </c>
      <c r="B106" t="n">
        <v>18</v>
      </c>
      <c r="C106" t="inlineStr">
        <is>
          <t>SS.HH. hombres/mujeres/accesible</t>
        </is>
      </c>
      <c r="D106" t="inlineStr">
        <is>
          <t>Servicios</t>
        </is>
      </c>
      <c r="E106" t="n">
        <v>1</v>
      </c>
      <c r="F106" t="n">
        <v>20</v>
      </c>
      <c r="G106">
        <f>E106*F106</f>
        <v/>
      </c>
      <c r="H106" t="n">
        <v>0</v>
      </c>
      <c r="I106" t="inlineStr">
        <is>
          <t>Según aforo del nivel</t>
        </is>
      </c>
    </row>
    <row r="107">
      <c r="A107" t="inlineStr">
        <is>
          <t>Piso 7</t>
        </is>
      </c>
      <c r="B107" t="n">
        <v>18</v>
      </c>
      <c r="C107" t="inlineStr">
        <is>
          <t>Ductos de instalaciones y ventilación</t>
        </is>
      </c>
      <c r="D107" t="inlineStr">
        <is>
          <t>Servicios</t>
        </is>
      </c>
      <c r="E107" t="n">
        <v>1</v>
      </c>
      <c r="F107" t="n">
        <v>6</v>
      </c>
      <c r="G107">
        <f>E107*F107</f>
        <v/>
      </c>
      <c r="H107" t="n">
        <v>0</v>
      </c>
      <c r="I107" t="inlineStr">
        <is>
          <t>Incluye ducto de extracción</t>
        </is>
      </c>
    </row>
    <row r="108">
      <c r="A108" t="inlineStr">
        <is>
          <t>Piso 7</t>
        </is>
      </c>
      <c r="B108" t="n">
        <v>18</v>
      </c>
      <c r="C108" t="inlineStr">
        <is>
          <t>Hall de ascensor y circulación</t>
        </is>
      </c>
      <c r="D108" t="inlineStr">
        <is>
          <t>Circulación vertical</t>
        </is>
      </c>
      <c r="E108" t="n">
        <v>1</v>
      </c>
      <c r="F108" t="n">
        <v>15</v>
      </c>
      <c r="G108">
        <f>E108*F108</f>
        <v/>
      </c>
      <c r="H108" t="n">
        <v>0</v>
      </c>
      <c r="I108" t="inlineStr"/>
    </row>
    <row r="109">
      <c r="A109" s="6" t="inlineStr">
        <is>
          <t>Piso 7</t>
        </is>
      </c>
      <c r="B109" s="6" t="n">
        <v>18</v>
      </c>
      <c r="C109" s="6" t="inlineStr">
        <is>
          <t>Subtotal área útil + circulación</t>
        </is>
      </c>
      <c r="D109" s="6" t="n"/>
      <c r="E109" s="6" t="n"/>
      <c r="F109" s="6" t="n"/>
      <c r="G109" s="6">
        <f>SUM(G98:G108)</f>
        <v/>
      </c>
      <c r="H109" s="6">
        <f>SUM(H98:H108)</f>
        <v/>
      </c>
      <c r="I109" s="6" t="inlineStr"/>
    </row>
    <row r="110">
      <c r="A110" s="6" t="inlineStr">
        <is>
          <t>Piso 7</t>
        </is>
      </c>
      <c r="B110" s="6" t="n">
        <v>18</v>
      </c>
      <c r="C110" s="6" t="inlineStr">
        <is>
          <t>Muros, columnas y tolerancia</t>
        </is>
      </c>
      <c r="D110" s="6" t="n"/>
      <c r="E110" s="6" t="n"/>
      <c r="F110" s="6" t="n"/>
      <c r="G110" s="6">
        <f>G111-G109</f>
        <v/>
      </c>
      <c r="H110" s="6" t="inlineStr"/>
      <c r="I110" s="6" t="inlineStr"/>
    </row>
    <row r="111">
      <c r="A111" s="3" t="inlineStr">
        <is>
          <t>Piso 7</t>
        </is>
      </c>
      <c r="B111" s="3" t="n">
        <v>18</v>
      </c>
      <c r="C111" s="3" t="inlineStr">
        <is>
          <t>ÁREA BRUTA DEL NIVEL (huella)</t>
        </is>
      </c>
      <c r="D111" s="3" t="n"/>
      <c r="E111" s="3" t="n"/>
      <c r="F111" s="3" t="n"/>
      <c r="G111" s="3" t="n">
        <v>403</v>
      </c>
      <c r="H111" s="3" t="inlineStr"/>
      <c r="I111" s="3" t="inlineStr"/>
    </row>
    <row r="112"/>
    <row r="113">
      <c r="A113" t="inlineStr">
        <is>
          <t>Azotea técnica</t>
        </is>
      </c>
      <c r="B113" t="n">
        <v>21</v>
      </c>
      <c r="C113" t="inlineStr">
        <is>
          <t>Tanque elevado y equipos de extracción</t>
        </is>
      </c>
      <c r="D113" t="inlineStr">
        <is>
          <t>Servidumbre</t>
        </is>
      </c>
      <c r="E113" t="n">
        <v>1</v>
      </c>
      <c r="F113" t="n">
        <v>100</v>
      </c>
      <c r="G113">
        <f>E113*F113</f>
        <v/>
      </c>
      <c r="H113" t="n">
        <v>0</v>
      </c>
      <c r="I113" t="inlineStr">
        <is>
          <t>Piso técnico</t>
        </is>
      </c>
    </row>
    <row r="114">
      <c r="A114" t="inlineStr">
        <is>
          <t>Azotea técnica</t>
        </is>
      </c>
      <c r="B114" t="n">
        <v>21</v>
      </c>
      <c r="C114" t="inlineStr">
        <is>
          <t>Escalera de acceso</t>
        </is>
      </c>
      <c r="D114" t="inlineStr">
        <is>
          <t>Circulación vertical</t>
        </is>
      </c>
      <c r="E114" t="n">
        <v>1</v>
      </c>
      <c r="F114" t="n">
        <v>16</v>
      </c>
      <c r="G114">
        <f>E114*F114</f>
        <v/>
      </c>
      <c r="H114" t="n">
        <v>0</v>
      </c>
      <c r="I114" t="inlineStr"/>
    </row>
    <row r="115">
      <c r="A115" s="6" t="inlineStr">
        <is>
          <t>Azotea técnica</t>
        </is>
      </c>
      <c r="B115" s="6" t="n">
        <v>21</v>
      </c>
      <c r="C115" s="6" t="inlineStr">
        <is>
          <t>Subtotal área útil + circulación</t>
        </is>
      </c>
      <c r="D115" s="6" t="n"/>
      <c r="E115" s="6" t="n"/>
      <c r="F115" s="6" t="n"/>
      <c r="G115" s="6">
        <f>SUM(G112:G114)</f>
        <v/>
      </c>
      <c r="H115" s="6">
        <f>SUM(H112:H114)</f>
        <v/>
      </c>
      <c r="I115" s="6" t="inlineStr"/>
    </row>
    <row r="116">
      <c r="A116" s="6" t="inlineStr">
        <is>
          <t>Azotea técnica</t>
        </is>
      </c>
      <c r="B116" s="6" t="n">
        <v>21</v>
      </c>
      <c r="C116" s="6" t="inlineStr">
        <is>
          <t>Muros, columnas y tolerancia</t>
        </is>
      </c>
      <c r="D116" s="6" t="n"/>
      <c r="E116" s="6" t="n"/>
      <c r="F116" s="6" t="n"/>
      <c r="G116" s="6">
        <f>G117-G115</f>
        <v/>
      </c>
      <c r="H116" s="6" t="inlineStr"/>
      <c r="I116" s="6" t="inlineStr"/>
    </row>
    <row r="117">
      <c r="A117" s="3" t="inlineStr">
        <is>
          <t>Azotea técnica</t>
        </is>
      </c>
      <c r="B117" s="3" t="n">
        <v>21</v>
      </c>
      <c r="C117" s="3" t="inlineStr">
        <is>
          <t>ÁREA BRUTA DEL NIVEL (huella)</t>
        </is>
      </c>
      <c r="D117" s="3" t="n"/>
      <c r="E117" s="3" t="n"/>
      <c r="F117" s="3" t="n"/>
      <c r="G117" s="3" t="n">
        <v>403</v>
      </c>
      <c r="H117" s="3" t="inlineStr"/>
      <c r="I117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46" customWidth="1" min="3" max="3"/>
    <col width="20" customWidth="1" min="4" max="4"/>
    <col width="7" customWidth="1" min="5" max="5"/>
    <col width="14" customWidth="1" min="6" max="6"/>
    <col width="14" customWidth="1" min="7" max="7"/>
    <col width="8" customWidth="1" min="8" max="8"/>
    <col width="44" customWidth="1" min="9" max="9"/>
  </cols>
  <sheetData>
    <row r="1">
      <c r="A1" s="1" t="inlineStr">
        <is>
          <t>EDIFICIO N°2 – Huella 185 m² – 4 pisos + 1 sótano</t>
        </is>
      </c>
    </row>
    <row r="3">
      <c r="A3" s="5" t="inlineStr">
        <is>
          <t>Nivel</t>
        </is>
      </c>
      <c r="B3" s="5" t="inlineStr">
        <is>
          <t>Cota (m)</t>
        </is>
      </c>
      <c r="C3" s="5" t="inlineStr">
        <is>
          <t>Ambiente</t>
        </is>
      </c>
      <c r="D3" s="5" t="inlineStr">
        <is>
          <t>Categoría</t>
        </is>
      </c>
      <c r="E3" s="5" t="inlineStr">
        <is>
          <t>Cant.</t>
        </is>
      </c>
      <c r="F3" s="5" t="inlineStr">
        <is>
          <t>Área unit. (m²)</t>
        </is>
      </c>
      <c r="G3" s="5" t="inlineStr">
        <is>
          <t>Área total (m²)</t>
        </is>
      </c>
      <c r="H3" s="5" t="inlineStr">
        <is>
          <t>Aforo</t>
        </is>
      </c>
      <c r="I3" s="5" t="inlineStr">
        <is>
          <t>Observaciones</t>
        </is>
      </c>
    </row>
    <row r="4">
      <c r="A4" t="inlineStr">
        <is>
          <t>Sótano 1</t>
        </is>
      </c>
      <c r="B4" t="n">
        <v>-3</v>
      </c>
      <c r="C4" t="inlineStr">
        <is>
          <t>Rampa vehicular</t>
        </is>
      </c>
      <c r="D4" t="inlineStr">
        <is>
          <t>Estacionamiento</t>
        </is>
      </c>
      <c r="E4" t="n">
        <v>1</v>
      </c>
      <c r="F4" t="n">
        <v>35</v>
      </c>
      <c r="G4">
        <f>E4*F4</f>
        <v/>
      </c>
      <c r="H4" t="n">
        <v>0</v>
      </c>
      <c r="I4" t="inlineStr"/>
    </row>
    <row r="5">
      <c r="A5" t="inlineStr">
        <is>
          <t>Sótano 1</t>
        </is>
      </c>
      <c r="B5" t="n">
        <v>-3</v>
      </c>
      <c r="C5" t="inlineStr">
        <is>
          <t>Estacionamiento (6 plazas)</t>
        </is>
      </c>
      <c r="D5" t="inlineStr">
        <is>
          <t>Estacionamiento</t>
        </is>
      </c>
      <c r="E5" t="n">
        <v>1</v>
      </c>
      <c r="F5" t="n">
        <v>80</v>
      </c>
      <c r="G5">
        <f>E5*F5</f>
        <v/>
      </c>
      <c r="H5" t="n">
        <v>0</v>
      </c>
      <c r="I5" t="inlineStr"/>
    </row>
    <row r="6">
      <c r="A6" t="inlineStr">
        <is>
          <t>Sótano 1</t>
        </is>
      </c>
      <c r="B6" t="n">
        <v>-3</v>
      </c>
      <c r="C6" t="inlineStr">
        <is>
          <t>Depósito</t>
        </is>
      </c>
      <c r="D6" t="inlineStr">
        <is>
          <t>Servidumbre</t>
        </is>
      </c>
      <c r="E6" t="n">
        <v>1</v>
      </c>
      <c r="F6" t="n">
        <v>15</v>
      </c>
      <c r="G6">
        <f>E6*F6</f>
        <v/>
      </c>
      <c r="H6" t="n">
        <v>0</v>
      </c>
      <c r="I6" t="inlineStr"/>
    </row>
    <row r="7">
      <c r="A7" t="inlineStr">
        <is>
          <t>Sótano 1</t>
        </is>
      </c>
      <c r="B7" t="n">
        <v>-3</v>
      </c>
      <c r="C7" t="inlineStr">
        <is>
          <t>Escalera de evacuación protegida</t>
        </is>
      </c>
      <c r="D7" t="inlineStr">
        <is>
          <t>Circulación vertical</t>
        </is>
      </c>
      <c r="E7" t="n">
        <v>1</v>
      </c>
      <c r="F7" t="n">
        <v>16</v>
      </c>
      <c r="G7">
        <f>E7*F7</f>
        <v/>
      </c>
      <c r="H7" t="n">
        <v>0</v>
      </c>
      <c r="I7" t="inlineStr"/>
    </row>
    <row r="8">
      <c r="A8" t="inlineStr">
        <is>
          <t>Sótano 1</t>
        </is>
      </c>
      <c r="B8" t="n">
        <v>-3</v>
      </c>
      <c r="C8" t="inlineStr">
        <is>
          <t>Ascensor accesible</t>
        </is>
      </c>
      <c r="D8" t="inlineStr">
        <is>
          <t>Circulación vertical</t>
        </is>
      </c>
      <c r="E8" t="n">
        <v>1</v>
      </c>
      <c r="F8" t="n">
        <v>6</v>
      </c>
      <c r="G8">
        <f>E8*F8</f>
        <v/>
      </c>
      <c r="H8" t="n">
        <v>0</v>
      </c>
      <c r="I8" t="inlineStr"/>
    </row>
    <row r="9">
      <c r="A9" s="6" t="inlineStr">
        <is>
          <t>Sótano 1</t>
        </is>
      </c>
      <c r="B9" s="6" t="n">
        <v>-3</v>
      </c>
      <c r="C9" s="6" t="inlineStr">
        <is>
          <t>Subtotal área útil + circulación</t>
        </is>
      </c>
      <c r="D9" s="6" t="n"/>
      <c r="E9" s="6" t="n"/>
      <c r="F9" s="6" t="n"/>
      <c r="G9" s="6">
        <f>SUM(G4:G8)</f>
        <v/>
      </c>
      <c r="H9" s="6">
        <f>SUM(H4:H8)</f>
        <v/>
      </c>
      <c r="I9" s="6" t="inlineStr"/>
    </row>
    <row r="10">
      <c r="A10" s="6" t="inlineStr">
        <is>
          <t>Sótano 1</t>
        </is>
      </c>
      <c r="B10" s="6" t="n">
        <v>-3</v>
      </c>
      <c r="C10" s="6" t="inlineStr">
        <is>
          <t>Muros, columnas y tolerancia</t>
        </is>
      </c>
      <c r="D10" s="6" t="n"/>
      <c r="E10" s="6" t="n"/>
      <c r="F10" s="6" t="n"/>
      <c r="G10" s="6">
        <f>G11-G9</f>
        <v/>
      </c>
      <c r="H10" s="6" t="inlineStr"/>
      <c r="I10" s="6" t="inlineStr"/>
    </row>
    <row r="11">
      <c r="A11" s="3" t="inlineStr">
        <is>
          <t>Sótano 1</t>
        </is>
      </c>
      <c r="B11" s="3" t="n">
        <v>-3</v>
      </c>
      <c r="C11" s="3" t="inlineStr">
        <is>
          <t>ÁREA BRUTA DEL NIVEL (huella)</t>
        </is>
      </c>
      <c r="D11" s="3" t="n"/>
      <c r="E11" s="3" t="n"/>
      <c r="F11" s="3" t="n"/>
      <c r="G11" s="3" t="n">
        <v>185</v>
      </c>
      <c r="H11" s="3" t="inlineStr"/>
      <c r="I11" s="3" t="inlineStr"/>
    </row>
    <row r="12"/>
    <row r="13">
      <c r="A13" t="inlineStr">
        <is>
          <t>Piso 1</t>
        </is>
      </c>
      <c r="B13" t="n">
        <v>0</v>
      </c>
      <c r="C13" t="inlineStr">
        <is>
          <t>Cafetería (salón)</t>
        </is>
      </c>
      <c r="D13" t="inlineStr">
        <is>
          <t>Cafetería</t>
        </is>
      </c>
      <c r="E13" t="n">
        <v>1</v>
      </c>
      <c r="F13" t="n">
        <v>70</v>
      </c>
      <c r="G13">
        <f>E13*F13</f>
        <v/>
      </c>
      <c r="H13" t="n">
        <v>45</v>
      </c>
      <c r="I13" t="inlineStr">
        <is>
          <t>1.5 m²/pers.</t>
        </is>
      </c>
    </row>
    <row r="14">
      <c r="A14" t="inlineStr">
        <is>
          <t>Piso 1</t>
        </is>
      </c>
      <c r="B14" t="n">
        <v>0</v>
      </c>
      <c r="C14" t="inlineStr">
        <is>
          <t>Cocina y despensa</t>
        </is>
      </c>
      <c r="D14" t="inlineStr">
        <is>
          <t>Cafetería</t>
        </is>
      </c>
      <c r="E14" t="n">
        <v>1</v>
      </c>
      <c r="F14" t="n">
        <v>20</v>
      </c>
      <c r="G14">
        <f>E14*F14</f>
        <v/>
      </c>
      <c r="H14" t="n">
        <v>3</v>
      </c>
      <c r="I14" t="inlineStr"/>
    </row>
    <row r="15">
      <c r="A15" t="inlineStr">
        <is>
          <t>Piso 1</t>
        </is>
      </c>
      <c r="B15" t="n">
        <v>0</v>
      </c>
      <c r="C15" t="inlineStr">
        <is>
          <t>Hall de acceso</t>
        </is>
      </c>
      <c r="D15" t="inlineStr">
        <is>
          <t>Circulación</t>
        </is>
      </c>
      <c r="E15" t="n">
        <v>1</v>
      </c>
      <c r="F15" t="n">
        <v>20</v>
      </c>
      <c r="G15">
        <f>E15*F15</f>
        <v/>
      </c>
      <c r="H15" t="n">
        <v>0</v>
      </c>
      <c r="I15" t="inlineStr">
        <is>
          <t>Conexión con Edificio 1</t>
        </is>
      </c>
    </row>
    <row r="16">
      <c r="A16" t="inlineStr">
        <is>
          <t>Piso 1</t>
        </is>
      </c>
      <c r="B16" t="n">
        <v>0</v>
      </c>
      <c r="C16" t="inlineStr">
        <is>
          <t>Escalera de evacuación protegida</t>
        </is>
      </c>
      <c r="D16" t="inlineStr">
        <is>
          <t>Circulación vertical</t>
        </is>
      </c>
      <c r="E16" t="n">
        <v>1</v>
      </c>
      <c r="F16" t="n">
        <v>16</v>
      </c>
      <c r="G16">
        <f>E16*F16</f>
        <v/>
      </c>
      <c r="H16" t="n">
        <v>0</v>
      </c>
      <c r="I16" t="inlineStr">
        <is>
          <t>Ancho libre ≥1.20 m, a prueba de humo</t>
        </is>
      </c>
    </row>
    <row r="17">
      <c r="A17" t="inlineStr">
        <is>
          <t>Piso 1</t>
        </is>
      </c>
      <c r="B17" t="n">
        <v>0</v>
      </c>
      <c r="C17" t="inlineStr">
        <is>
          <t>Ascensor accesible (cabina camilla)</t>
        </is>
      </c>
      <c r="D17" t="inlineStr">
        <is>
          <t>Circulación vertical</t>
        </is>
      </c>
      <c r="E17" t="n">
        <v>1</v>
      </c>
      <c r="F17" t="n">
        <v>6</v>
      </c>
      <c r="G17">
        <f>E17*F17</f>
        <v/>
      </c>
      <c r="H17" t="n">
        <v>0</v>
      </c>
      <c r="I17" t="inlineStr">
        <is>
          <t>Acceso universal RNE A.120</t>
        </is>
      </c>
    </row>
    <row r="18">
      <c r="A18" t="inlineStr">
        <is>
          <t>Piso 1</t>
        </is>
      </c>
      <c r="B18" t="n">
        <v>0</v>
      </c>
      <c r="C18" t="inlineStr">
        <is>
          <t>SS.HH. hombres/mujeres/accesible</t>
        </is>
      </c>
      <c r="D18" t="inlineStr">
        <is>
          <t>Servicios</t>
        </is>
      </c>
      <c r="E18" t="n">
        <v>1</v>
      </c>
      <c r="F18" t="n">
        <v>14</v>
      </c>
      <c r="G18">
        <f>E18*F18</f>
        <v/>
      </c>
      <c r="H18" t="n">
        <v>0</v>
      </c>
      <c r="I18" t="inlineStr">
        <is>
          <t>Según aforo del nivel</t>
        </is>
      </c>
    </row>
    <row r="19">
      <c r="A19" t="inlineStr">
        <is>
          <t>Piso 1</t>
        </is>
      </c>
      <c r="B19" t="n">
        <v>0</v>
      </c>
      <c r="C19" t="inlineStr">
        <is>
          <t>Ductos de instalaciones y ventilación</t>
        </is>
      </c>
      <c r="D19" t="inlineStr">
        <is>
          <t>Servicios</t>
        </is>
      </c>
      <c r="E19" t="n">
        <v>1</v>
      </c>
      <c r="F19" t="n">
        <v>4</v>
      </c>
      <c r="G19">
        <f>E19*F19</f>
        <v/>
      </c>
      <c r="H19" t="n">
        <v>0</v>
      </c>
      <c r="I19" t="inlineStr">
        <is>
          <t>Incluye ducto de extracción</t>
        </is>
      </c>
    </row>
    <row r="20">
      <c r="A20" t="inlineStr">
        <is>
          <t>Piso 1</t>
        </is>
      </c>
      <c r="B20" t="n">
        <v>0</v>
      </c>
      <c r="C20" t="inlineStr">
        <is>
          <t>Hall de ascensor y circulación</t>
        </is>
      </c>
      <c r="D20" t="inlineStr">
        <is>
          <t>Circulación vertical</t>
        </is>
      </c>
      <c r="E20" t="n">
        <v>1</v>
      </c>
      <c r="F20" t="n">
        <v>10</v>
      </c>
      <c r="G20">
        <f>E20*F20</f>
        <v/>
      </c>
      <c r="H20" t="n">
        <v>0</v>
      </c>
      <c r="I20" t="inlineStr"/>
    </row>
    <row r="21">
      <c r="A21" s="6" t="inlineStr">
        <is>
          <t>Piso 1</t>
        </is>
      </c>
      <c r="B21" s="6" t="n">
        <v>0</v>
      </c>
      <c r="C21" s="6" t="inlineStr">
        <is>
          <t>Subtotal área útil + circulación</t>
        </is>
      </c>
      <c r="D21" s="6" t="n"/>
      <c r="E21" s="6" t="n"/>
      <c r="F21" s="6" t="n"/>
      <c r="G21" s="6">
        <f>SUM(G12:G20)</f>
        <v/>
      </c>
      <c r="H21" s="6">
        <f>SUM(H12:H20)</f>
        <v/>
      </c>
      <c r="I21" s="6" t="inlineStr"/>
    </row>
    <row r="22">
      <c r="A22" s="6" t="inlineStr">
        <is>
          <t>Piso 1</t>
        </is>
      </c>
      <c r="B22" s="6" t="n">
        <v>0</v>
      </c>
      <c r="C22" s="6" t="inlineStr">
        <is>
          <t>Muros, columnas y tolerancia</t>
        </is>
      </c>
      <c r="D22" s="6" t="n"/>
      <c r="E22" s="6" t="n"/>
      <c r="F22" s="6" t="n"/>
      <c r="G22" s="6">
        <f>G23-G21</f>
        <v/>
      </c>
      <c r="H22" s="6" t="inlineStr"/>
      <c r="I22" s="6" t="inlineStr"/>
    </row>
    <row r="23">
      <c r="A23" s="3" t="inlineStr">
        <is>
          <t>Piso 1</t>
        </is>
      </c>
      <c r="B23" s="3" t="n">
        <v>0</v>
      </c>
      <c r="C23" s="3" t="inlineStr">
        <is>
          <t>ÁREA BRUTA DEL NIVEL (huella)</t>
        </is>
      </c>
      <c r="D23" s="3" t="n"/>
      <c r="E23" s="3" t="n"/>
      <c r="F23" s="3" t="n"/>
      <c r="G23" s="3" t="n">
        <v>185</v>
      </c>
      <c r="H23" s="3" t="inlineStr"/>
      <c r="I23" s="3" t="inlineStr"/>
    </row>
    <row r="24"/>
    <row r="25">
      <c r="A25" t="inlineStr">
        <is>
          <t>Piso 2</t>
        </is>
      </c>
      <c r="B25" t="n">
        <v>3</v>
      </c>
      <c r="C25" t="inlineStr">
        <is>
          <t>Aula de idiomas 1 (30 al.)</t>
        </is>
      </c>
      <c r="D25" t="inlineStr">
        <is>
          <t>Aula</t>
        </is>
      </c>
      <c r="E25" t="n">
        <v>1</v>
      </c>
      <c r="F25" t="n">
        <v>50</v>
      </c>
      <c r="G25">
        <f>E25*F25</f>
        <v/>
      </c>
      <c r="H25" t="n">
        <v>30</v>
      </c>
      <c r="I25" t="inlineStr">
        <is>
          <t>1.5 m²/al.</t>
        </is>
      </c>
    </row>
    <row r="26">
      <c r="A26" t="inlineStr">
        <is>
          <t>Piso 2</t>
        </is>
      </c>
      <c r="B26" t="n">
        <v>3</v>
      </c>
      <c r="C26" t="inlineStr">
        <is>
          <t>Sala de práctica de conversación</t>
        </is>
      </c>
      <c r="D26" t="inlineStr">
        <is>
          <t>Aula</t>
        </is>
      </c>
      <c r="E26" t="n">
        <v>1</v>
      </c>
      <c r="F26" t="n">
        <v>30</v>
      </c>
      <c r="G26">
        <f>E26*F26</f>
        <v/>
      </c>
      <c r="H26" t="n">
        <v>15</v>
      </c>
      <c r="I26" t="inlineStr"/>
    </row>
    <row r="27">
      <c r="A27" t="inlineStr">
        <is>
          <t>Piso 2</t>
        </is>
      </c>
      <c r="B27" t="n">
        <v>3</v>
      </c>
      <c r="C27" t="inlineStr">
        <is>
          <t>Depósito</t>
        </is>
      </c>
      <c r="D27" t="inlineStr">
        <is>
          <t>Depósito</t>
        </is>
      </c>
      <c r="E27" t="n">
        <v>1</v>
      </c>
      <c r="F27" t="n">
        <v>10</v>
      </c>
      <c r="G27">
        <f>E27*F27</f>
        <v/>
      </c>
      <c r="H27" t="n">
        <v>0</v>
      </c>
      <c r="I27" t="inlineStr"/>
    </row>
    <row r="28">
      <c r="A28" t="inlineStr">
        <is>
          <t>Piso 2</t>
        </is>
      </c>
      <c r="B28" t="n">
        <v>3</v>
      </c>
      <c r="C28" t="inlineStr">
        <is>
          <t>Escalera de evacuación protegida</t>
        </is>
      </c>
      <c r="D28" t="inlineStr">
        <is>
          <t>Circulación vertical</t>
        </is>
      </c>
      <c r="E28" t="n">
        <v>1</v>
      </c>
      <c r="F28" t="n">
        <v>16</v>
      </c>
      <c r="G28">
        <f>E28*F28</f>
        <v/>
      </c>
      <c r="H28" t="n">
        <v>0</v>
      </c>
      <c r="I28" t="inlineStr">
        <is>
          <t>Ancho libre ≥1.20 m, a prueba de humo</t>
        </is>
      </c>
    </row>
    <row r="29">
      <c r="A29" t="inlineStr">
        <is>
          <t>Piso 2</t>
        </is>
      </c>
      <c r="B29" t="n">
        <v>3</v>
      </c>
      <c r="C29" t="inlineStr">
        <is>
          <t>Ascensor accesible (cabina camilla)</t>
        </is>
      </c>
      <c r="D29" t="inlineStr">
        <is>
          <t>Circulación vertical</t>
        </is>
      </c>
      <c r="E29" t="n">
        <v>1</v>
      </c>
      <c r="F29" t="n">
        <v>6</v>
      </c>
      <c r="G29">
        <f>E29*F29</f>
        <v/>
      </c>
      <c r="H29" t="n">
        <v>0</v>
      </c>
      <c r="I29" t="inlineStr">
        <is>
          <t>Acceso universal RNE A.120</t>
        </is>
      </c>
    </row>
    <row r="30">
      <c r="A30" t="inlineStr">
        <is>
          <t>Piso 2</t>
        </is>
      </c>
      <c r="B30" t="n">
        <v>3</v>
      </c>
      <c r="C30" t="inlineStr">
        <is>
          <t>SS.HH. hombres/mujeres/accesible</t>
        </is>
      </c>
      <c r="D30" t="inlineStr">
        <is>
          <t>Servicios</t>
        </is>
      </c>
      <c r="E30" t="n">
        <v>1</v>
      </c>
      <c r="F30" t="n">
        <v>14</v>
      </c>
      <c r="G30">
        <f>E30*F30</f>
        <v/>
      </c>
      <c r="H30" t="n">
        <v>0</v>
      </c>
      <c r="I30" t="inlineStr">
        <is>
          <t>Según aforo del nivel</t>
        </is>
      </c>
    </row>
    <row r="31">
      <c r="A31" t="inlineStr">
        <is>
          <t>Piso 2</t>
        </is>
      </c>
      <c r="B31" t="n">
        <v>3</v>
      </c>
      <c r="C31" t="inlineStr">
        <is>
          <t>Ductos de instalaciones y ventilación</t>
        </is>
      </c>
      <c r="D31" t="inlineStr">
        <is>
          <t>Servicios</t>
        </is>
      </c>
      <c r="E31" t="n">
        <v>1</v>
      </c>
      <c r="F31" t="n">
        <v>4</v>
      </c>
      <c r="G31">
        <f>E31*F31</f>
        <v/>
      </c>
      <c r="H31" t="n">
        <v>0</v>
      </c>
      <c r="I31" t="inlineStr">
        <is>
          <t>Incluye ducto de extracción</t>
        </is>
      </c>
    </row>
    <row r="32">
      <c r="A32" t="inlineStr">
        <is>
          <t>Piso 2</t>
        </is>
      </c>
      <c r="B32" t="n">
        <v>3</v>
      </c>
      <c r="C32" t="inlineStr">
        <is>
          <t>Hall de ascensor y circulación</t>
        </is>
      </c>
      <c r="D32" t="inlineStr">
        <is>
          <t>Circulación vertical</t>
        </is>
      </c>
      <c r="E32" t="n">
        <v>1</v>
      </c>
      <c r="F32" t="n">
        <v>10</v>
      </c>
      <c r="G32">
        <f>E32*F32</f>
        <v/>
      </c>
      <c r="H32" t="n">
        <v>0</v>
      </c>
      <c r="I32" t="inlineStr"/>
    </row>
    <row r="33">
      <c r="A33" s="6" t="inlineStr">
        <is>
          <t>Piso 2</t>
        </is>
      </c>
      <c r="B33" s="6" t="n">
        <v>3</v>
      </c>
      <c r="C33" s="6" t="inlineStr">
        <is>
          <t>Subtotal área útil + circulación</t>
        </is>
      </c>
      <c r="D33" s="6" t="n"/>
      <c r="E33" s="6" t="n"/>
      <c r="F33" s="6" t="n"/>
      <c r="G33" s="6">
        <f>SUM(G24:G32)</f>
        <v/>
      </c>
      <c r="H33" s="6">
        <f>SUM(H24:H32)</f>
        <v/>
      </c>
      <c r="I33" s="6" t="inlineStr"/>
    </row>
    <row r="34">
      <c r="A34" s="6" t="inlineStr">
        <is>
          <t>Piso 2</t>
        </is>
      </c>
      <c r="B34" s="6" t="n">
        <v>3</v>
      </c>
      <c r="C34" s="6" t="inlineStr">
        <is>
          <t>Muros, columnas y tolerancia</t>
        </is>
      </c>
      <c r="D34" s="6" t="n"/>
      <c r="E34" s="6" t="n"/>
      <c r="F34" s="6" t="n"/>
      <c r="G34" s="6">
        <f>G35-G33</f>
        <v/>
      </c>
      <c r="H34" s="6" t="inlineStr"/>
      <c r="I34" s="6" t="inlineStr"/>
    </row>
    <row r="35">
      <c r="A35" s="3" t="inlineStr">
        <is>
          <t>Piso 2</t>
        </is>
      </c>
      <c r="B35" s="3" t="n">
        <v>3</v>
      </c>
      <c r="C35" s="3" t="inlineStr">
        <is>
          <t>ÁREA BRUTA DEL NIVEL (huella)</t>
        </is>
      </c>
      <c r="D35" s="3" t="n"/>
      <c r="E35" s="3" t="n"/>
      <c r="F35" s="3" t="n"/>
      <c r="G35" s="3" t="n">
        <v>185</v>
      </c>
      <c r="H35" s="3" t="inlineStr"/>
      <c r="I35" s="3" t="inlineStr"/>
    </row>
    <row r="36"/>
    <row r="37">
      <c r="A37" t="inlineStr">
        <is>
          <t>Piso 3</t>
        </is>
      </c>
      <c r="B37" t="n">
        <v>6</v>
      </c>
      <c r="C37" t="inlineStr">
        <is>
          <t>Aula de idiomas 2 (30 al.)</t>
        </is>
      </c>
      <c r="D37" t="inlineStr">
        <is>
          <t>Aula</t>
        </is>
      </c>
      <c r="E37" t="n">
        <v>1</v>
      </c>
      <c r="F37" t="n">
        <v>50</v>
      </c>
      <c r="G37">
        <f>E37*F37</f>
        <v/>
      </c>
      <c r="H37" t="n">
        <v>30</v>
      </c>
      <c r="I37" t="inlineStr"/>
    </row>
    <row r="38">
      <c r="A38" t="inlineStr">
        <is>
          <t>Piso 3</t>
        </is>
      </c>
      <c r="B38" t="n">
        <v>6</v>
      </c>
      <c r="C38" t="inlineStr">
        <is>
          <t>Sala de práctica de conversación</t>
        </is>
      </c>
      <c r="D38" t="inlineStr">
        <is>
          <t>Aula</t>
        </is>
      </c>
      <c r="E38" t="n">
        <v>1</v>
      </c>
      <c r="F38" t="n">
        <v>30</v>
      </c>
      <c r="G38">
        <f>E38*F38</f>
        <v/>
      </c>
      <c r="H38" t="n">
        <v>15</v>
      </c>
      <c r="I38" t="inlineStr"/>
    </row>
    <row r="39">
      <c r="A39" t="inlineStr">
        <is>
          <t>Piso 3</t>
        </is>
      </c>
      <c r="B39" t="n">
        <v>6</v>
      </c>
      <c r="C39" t="inlineStr">
        <is>
          <t>Depósito</t>
        </is>
      </c>
      <c r="D39" t="inlineStr">
        <is>
          <t>Depósito</t>
        </is>
      </c>
      <c r="E39" t="n">
        <v>1</v>
      </c>
      <c r="F39" t="n">
        <v>10</v>
      </c>
      <c r="G39">
        <f>E39*F39</f>
        <v/>
      </c>
      <c r="H39" t="n">
        <v>0</v>
      </c>
      <c r="I39" t="inlineStr"/>
    </row>
    <row r="40">
      <c r="A40" t="inlineStr">
        <is>
          <t>Piso 3</t>
        </is>
      </c>
      <c r="B40" t="n">
        <v>6</v>
      </c>
      <c r="C40" t="inlineStr">
        <is>
          <t>Escalera de evacuación protegida</t>
        </is>
      </c>
      <c r="D40" t="inlineStr">
        <is>
          <t>Circulación vertical</t>
        </is>
      </c>
      <c r="E40" t="n">
        <v>1</v>
      </c>
      <c r="F40" t="n">
        <v>16</v>
      </c>
      <c r="G40">
        <f>E40*F40</f>
        <v/>
      </c>
      <c r="H40" t="n">
        <v>0</v>
      </c>
      <c r="I40" t="inlineStr">
        <is>
          <t>Ancho libre ≥1.20 m, a prueba de humo</t>
        </is>
      </c>
    </row>
    <row r="41">
      <c r="A41" t="inlineStr">
        <is>
          <t>Piso 3</t>
        </is>
      </c>
      <c r="B41" t="n">
        <v>6</v>
      </c>
      <c r="C41" t="inlineStr">
        <is>
          <t>Ascensor accesible (cabina camilla)</t>
        </is>
      </c>
      <c r="D41" t="inlineStr">
        <is>
          <t>Circulación vertical</t>
        </is>
      </c>
      <c r="E41" t="n">
        <v>1</v>
      </c>
      <c r="F41" t="n">
        <v>6</v>
      </c>
      <c r="G41">
        <f>E41*F41</f>
        <v/>
      </c>
      <c r="H41" t="n">
        <v>0</v>
      </c>
      <c r="I41" t="inlineStr">
        <is>
          <t>Acceso universal RNE A.120</t>
        </is>
      </c>
    </row>
    <row r="42">
      <c r="A42" t="inlineStr">
        <is>
          <t>Piso 3</t>
        </is>
      </c>
      <c r="B42" t="n">
        <v>6</v>
      </c>
      <c r="C42" t="inlineStr">
        <is>
          <t>SS.HH. hombres/mujeres/accesible</t>
        </is>
      </c>
      <c r="D42" t="inlineStr">
        <is>
          <t>Servicios</t>
        </is>
      </c>
      <c r="E42" t="n">
        <v>1</v>
      </c>
      <c r="F42" t="n">
        <v>14</v>
      </c>
      <c r="G42">
        <f>E42*F42</f>
        <v/>
      </c>
      <c r="H42" t="n">
        <v>0</v>
      </c>
      <c r="I42" t="inlineStr">
        <is>
          <t>Según aforo del nivel</t>
        </is>
      </c>
    </row>
    <row r="43">
      <c r="A43" t="inlineStr">
        <is>
          <t>Piso 3</t>
        </is>
      </c>
      <c r="B43" t="n">
        <v>6</v>
      </c>
      <c r="C43" t="inlineStr">
        <is>
          <t>Ductos de instalaciones y ventilación</t>
        </is>
      </c>
      <c r="D43" t="inlineStr">
        <is>
          <t>Servicios</t>
        </is>
      </c>
      <c r="E43" t="n">
        <v>1</v>
      </c>
      <c r="F43" t="n">
        <v>4</v>
      </c>
      <c r="G43">
        <f>E43*F43</f>
        <v/>
      </c>
      <c r="H43" t="n">
        <v>0</v>
      </c>
      <c r="I43" t="inlineStr">
        <is>
          <t>Incluye ducto de extracción</t>
        </is>
      </c>
    </row>
    <row r="44">
      <c r="A44" t="inlineStr">
        <is>
          <t>Piso 3</t>
        </is>
      </c>
      <c r="B44" t="n">
        <v>6</v>
      </c>
      <c r="C44" t="inlineStr">
        <is>
          <t>Hall de ascensor y circulación</t>
        </is>
      </c>
      <c r="D44" t="inlineStr">
        <is>
          <t>Circulación vertical</t>
        </is>
      </c>
      <c r="E44" t="n">
        <v>1</v>
      </c>
      <c r="F44" t="n">
        <v>10</v>
      </c>
      <c r="G44">
        <f>E44*F44</f>
        <v/>
      </c>
      <c r="H44" t="n">
        <v>0</v>
      </c>
      <c r="I44" t="inlineStr"/>
    </row>
    <row r="45">
      <c r="A45" s="6" t="inlineStr">
        <is>
          <t>Piso 3</t>
        </is>
      </c>
      <c r="B45" s="6" t="n">
        <v>6</v>
      </c>
      <c r="C45" s="6" t="inlineStr">
        <is>
          <t>Subtotal área útil + circulación</t>
        </is>
      </c>
      <c r="D45" s="6" t="n"/>
      <c r="E45" s="6" t="n"/>
      <c r="F45" s="6" t="n"/>
      <c r="G45" s="6">
        <f>SUM(G36:G44)</f>
        <v/>
      </c>
      <c r="H45" s="6">
        <f>SUM(H36:H44)</f>
        <v/>
      </c>
      <c r="I45" s="6" t="inlineStr"/>
    </row>
    <row r="46">
      <c r="A46" s="6" t="inlineStr">
        <is>
          <t>Piso 3</t>
        </is>
      </c>
      <c r="B46" s="6" t="n">
        <v>6</v>
      </c>
      <c r="C46" s="6" t="inlineStr">
        <is>
          <t>Muros, columnas y tolerancia</t>
        </is>
      </c>
      <c r="D46" s="6" t="n"/>
      <c r="E46" s="6" t="n"/>
      <c r="F46" s="6" t="n"/>
      <c r="G46" s="6">
        <f>G47-G45</f>
        <v/>
      </c>
      <c r="H46" s="6" t="inlineStr"/>
      <c r="I46" s="6" t="inlineStr"/>
    </row>
    <row r="47">
      <c r="A47" s="3" t="inlineStr">
        <is>
          <t>Piso 3</t>
        </is>
      </c>
      <c r="B47" s="3" t="n">
        <v>6</v>
      </c>
      <c r="C47" s="3" t="inlineStr">
        <is>
          <t>ÁREA BRUTA DEL NIVEL (huella)</t>
        </is>
      </c>
      <c r="D47" s="3" t="n"/>
      <c r="E47" s="3" t="n"/>
      <c r="F47" s="3" t="n"/>
      <c r="G47" s="3" t="n">
        <v>185</v>
      </c>
      <c r="H47" s="3" t="inlineStr"/>
      <c r="I47" s="3" t="inlineStr"/>
    </row>
    <row r="48"/>
    <row r="49">
      <c r="A49" t="inlineStr">
        <is>
          <t>Piso 4</t>
        </is>
      </c>
      <c r="B49" t="n">
        <v>9</v>
      </c>
      <c r="C49" t="inlineStr">
        <is>
          <t>Aula de idiomas 3 (30 al.)</t>
        </is>
      </c>
      <c r="D49" t="inlineStr">
        <is>
          <t>Aula</t>
        </is>
      </c>
      <c r="E49" t="n">
        <v>1</v>
      </c>
      <c r="F49" t="n">
        <v>50</v>
      </c>
      <c r="G49">
        <f>E49*F49</f>
        <v/>
      </c>
      <c r="H49" t="n">
        <v>30</v>
      </c>
      <c r="I49" t="inlineStr"/>
    </row>
    <row r="50">
      <c r="A50" t="inlineStr">
        <is>
          <t>Piso 4</t>
        </is>
      </c>
      <c r="B50" t="n">
        <v>9</v>
      </c>
      <c r="C50" t="inlineStr">
        <is>
          <t>Sala de práctica de conversación</t>
        </is>
      </c>
      <c r="D50" t="inlineStr">
        <is>
          <t>Aula</t>
        </is>
      </c>
      <c r="E50" t="n">
        <v>1</v>
      </c>
      <c r="F50" t="n">
        <v>30</v>
      </c>
      <c r="G50">
        <f>E50*F50</f>
        <v/>
      </c>
      <c r="H50" t="n">
        <v>15</v>
      </c>
      <c r="I50" t="inlineStr"/>
    </row>
    <row r="51">
      <c r="A51" t="inlineStr">
        <is>
          <t>Piso 4</t>
        </is>
      </c>
      <c r="B51" t="n">
        <v>9</v>
      </c>
      <c r="C51" t="inlineStr">
        <is>
          <t>Depósito</t>
        </is>
      </c>
      <c r="D51" t="inlineStr">
        <is>
          <t>Depósito</t>
        </is>
      </c>
      <c r="E51" t="n">
        <v>1</v>
      </c>
      <c r="F51" t="n">
        <v>10</v>
      </c>
      <c r="G51">
        <f>E51*F51</f>
        <v/>
      </c>
      <c r="H51" t="n">
        <v>0</v>
      </c>
      <c r="I51" t="inlineStr"/>
    </row>
    <row r="52">
      <c r="A52" t="inlineStr">
        <is>
          <t>Piso 4</t>
        </is>
      </c>
      <c r="B52" t="n">
        <v>9</v>
      </c>
      <c r="C52" t="inlineStr">
        <is>
          <t>Escalera de evacuación protegida</t>
        </is>
      </c>
      <c r="D52" t="inlineStr">
        <is>
          <t>Circulación vertical</t>
        </is>
      </c>
      <c r="E52" t="n">
        <v>1</v>
      </c>
      <c r="F52" t="n">
        <v>16</v>
      </c>
      <c r="G52">
        <f>E52*F52</f>
        <v/>
      </c>
      <c r="H52" t="n">
        <v>0</v>
      </c>
      <c r="I52" t="inlineStr">
        <is>
          <t>Ancho libre ≥1.20 m, a prueba de humo</t>
        </is>
      </c>
    </row>
    <row r="53">
      <c r="A53" t="inlineStr">
        <is>
          <t>Piso 4</t>
        </is>
      </c>
      <c r="B53" t="n">
        <v>9</v>
      </c>
      <c r="C53" t="inlineStr">
        <is>
          <t>Ascensor accesible (cabina camilla)</t>
        </is>
      </c>
      <c r="D53" t="inlineStr">
        <is>
          <t>Circulación vertical</t>
        </is>
      </c>
      <c r="E53" t="n">
        <v>1</v>
      </c>
      <c r="F53" t="n">
        <v>6</v>
      </c>
      <c r="G53">
        <f>E53*F53</f>
        <v/>
      </c>
      <c r="H53" t="n">
        <v>0</v>
      </c>
      <c r="I53" t="inlineStr">
        <is>
          <t>Acceso universal RNE A.120</t>
        </is>
      </c>
    </row>
    <row r="54">
      <c r="A54" t="inlineStr">
        <is>
          <t>Piso 4</t>
        </is>
      </c>
      <c r="B54" t="n">
        <v>9</v>
      </c>
      <c r="C54" t="inlineStr">
        <is>
          <t>SS.HH. hombres/mujeres/accesible</t>
        </is>
      </c>
      <c r="D54" t="inlineStr">
        <is>
          <t>Servicios</t>
        </is>
      </c>
      <c r="E54" t="n">
        <v>1</v>
      </c>
      <c r="F54" t="n">
        <v>14</v>
      </c>
      <c r="G54">
        <f>E54*F54</f>
        <v/>
      </c>
      <c r="H54" t="n">
        <v>0</v>
      </c>
      <c r="I54" t="inlineStr">
        <is>
          <t>Según aforo del nivel</t>
        </is>
      </c>
    </row>
    <row r="55">
      <c r="A55" t="inlineStr">
        <is>
          <t>Piso 4</t>
        </is>
      </c>
      <c r="B55" t="n">
        <v>9</v>
      </c>
      <c r="C55" t="inlineStr">
        <is>
          <t>Ductos de instalaciones y ventilación</t>
        </is>
      </c>
      <c r="D55" t="inlineStr">
        <is>
          <t>Servicios</t>
        </is>
      </c>
      <c r="E55" t="n">
        <v>1</v>
      </c>
      <c r="F55" t="n">
        <v>4</v>
      </c>
      <c r="G55">
        <f>E55*F55</f>
        <v/>
      </c>
      <c r="H55" t="n">
        <v>0</v>
      </c>
      <c r="I55" t="inlineStr">
        <is>
          <t>Incluye ducto de extracción</t>
        </is>
      </c>
    </row>
    <row r="56">
      <c r="A56" t="inlineStr">
        <is>
          <t>Piso 4</t>
        </is>
      </c>
      <c r="B56" t="n">
        <v>9</v>
      </c>
      <c r="C56" t="inlineStr">
        <is>
          <t>Hall de ascensor y circulación</t>
        </is>
      </c>
      <c r="D56" t="inlineStr">
        <is>
          <t>Circulación vertical</t>
        </is>
      </c>
      <c r="E56" t="n">
        <v>1</v>
      </c>
      <c r="F56" t="n">
        <v>10</v>
      </c>
      <c r="G56">
        <f>E56*F56</f>
        <v/>
      </c>
      <c r="H56" t="n">
        <v>0</v>
      </c>
      <c r="I56" t="inlineStr"/>
    </row>
    <row r="57">
      <c r="A57" s="6" t="inlineStr">
        <is>
          <t>Piso 4</t>
        </is>
      </c>
      <c r="B57" s="6" t="n">
        <v>9</v>
      </c>
      <c r="C57" s="6" t="inlineStr">
        <is>
          <t>Subtotal área útil + circulación</t>
        </is>
      </c>
      <c r="D57" s="6" t="n"/>
      <c r="E57" s="6" t="n"/>
      <c r="F57" s="6" t="n"/>
      <c r="G57" s="6">
        <f>SUM(G48:G56)</f>
        <v/>
      </c>
      <c r="H57" s="6">
        <f>SUM(H48:H56)</f>
        <v/>
      </c>
      <c r="I57" s="6" t="inlineStr"/>
    </row>
    <row r="58">
      <c r="A58" s="6" t="inlineStr">
        <is>
          <t>Piso 4</t>
        </is>
      </c>
      <c r="B58" s="6" t="n">
        <v>9</v>
      </c>
      <c r="C58" s="6" t="inlineStr">
        <is>
          <t>Muros, columnas y tolerancia</t>
        </is>
      </c>
      <c r="D58" s="6" t="n"/>
      <c r="E58" s="6" t="n"/>
      <c r="F58" s="6" t="n"/>
      <c r="G58" s="6">
        <f>G59-G57</f>
        <v/>
      </c>
      <c r="H58" s="6" t="inlineStr"/>
      <c r="I58" s="6" t="inlineStr"/>
    </row>
    <row r="59">
      <c r="A59" s="3" t="inlineStr">
        <is>
          <t>Piso 4</t>
        </is>
      </c>
      <c r="B59" s="3" t="n">
        <v>9</v>
      </c>
      <c r="C59" s="3" t="inlineStr">
        <is>
          <t>ÁREA BRUTA DEL NIVEL (huella)</t>
        </is>
      </c>
      <c r="D59" s="3" t="n"/>
      <c r="E59" s="3" t="n"/>
      <c r="F59" s="3" t="n"/>
      <c r="G59" s="3" t="n">
        <v>185</v>
      </c>
      <c r="H59" s="3" t="inlineStr"/>
      <c r="I59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SUPUESTOS Y PUNTOS POR VERIFICAR</t>
        </is>
      </c>
    </row>
    <row r="2">
      <c r="A2" t="inlineStr"/>
    </row>
    <row r="3">
      <c r="A3" t="inlineStr">
        <is>
          <t>Edificio 1 (403 m²) y Edificio 2 (185 m²) conectados por hall en piso 1 (Edificio 2 es anexo de cafetería e idiomas).</t>
        </is>
      </c>
    </row>
    <row r="4">
      <c r="A4" t="inlineStr">
        <is>
          <t>Altura de piso: 3.00 m. Sótano/semisótano/piso/azotea según RM N°029-2021-VIVIENDA (G.040).</t>
        </is>
      </c>
    </row>
    <row r="5">
      <c r="A5" t="inlineStr">
        <is>
          <t>Ratios (RNE A.040, verificar versión vigente): aula 1.5 m²/al.; laboratorio y taller 5 m²/al.; cómputo 2 m²/PC (supuesto).</t>
        </is>
      </c>
    </row>
    <row r="6">
      <c r="A6" t="inlineStr">
        <is>
          <t>Ducha: 1 por cada 60 alumnos; se proponen vestidores con ducha en cada nivel de laboratorio.</t>
        </is>
      </c>
    </row>
    <row r="7">
      <c r="A7" t="inlineStr">
        <is>
          <t>Aula magna en último nivel (60 personas); laboratorios y aula magna con ventilación natural y extracción mecánica.</t>
        </is>
      </c>
    </row>
    <row r="8">
      <c r="A8" t="inlineStr">
        <is>
          <t>Impresoras 2D/3D alojadas en depósitos. Mesas del taller (1.2x1.5x1.8): dimensión exacta por confirmar.</t>
        </is>
      </c>
    </row>
    <row r="9">
      <c r="A9" t="inlineStr">
        <is>
          <t>Áreas de núcleo (escaleras, ascensor, SS.HH., ductos) son estimadas, no de plano.</t>
        </is>
      </c>
    </row>
    <row r="10">
      <c r="A10" t="inlineStr">
        <is>
          <t>Estacionamiento: plazas por sótano dependen de la rampa; verificar exigencia del parámetro urbanístico.</t>
        </is>
      </c>
    </row>
    <row r="11">
      <c r="A11" t="inlineStr">
        <is>
          <t>Coordenadas UTM 18S (WGS84) referenciales del campus: E 276,977 / N 8,670,117. Verificar con levantamiento topográfico.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2026-09-30T21:16:04Z</dcterms:created>
  <dcterms:modified xsi:type="dcterms:W3CDTF">2026-09-30T21:16:04Z</dcterms:modified>
</cp:coreProperties>
</file>