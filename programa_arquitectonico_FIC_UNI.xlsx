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dificio 1" sheetId="2" state="visible" r:id="rId2"/>
    <sheet name="Edificio 2" sheetId="3" state="visible" r:id="rId3"/>
    <sheet name="Programa mínimo" sheetId="4" state="visible" r:id="rId4"/>
    <sheet name="Su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5" borderId="1" pivotButton="0" quotePrefix="0" xfId="0"/>
    <xf numFmtId="165" fontId="3" fillId="5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164" fontId="3" fillId="5" borderId="1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52" customWidth="1" min="4" max="4"/>
    <col width="11" customWidth="1" min="5" max="5"/>
    <col width="14" customWidth="1" min="6" max="6"/>
    <col width="11" customWidth="1" min="7" max="7"/>
    <col width="16" customWidth="1" min="8" max="8"/>
    <col width="11" customWidth="1" min="9" max="9"/>
    <col width="8" customWidth="1" min="10" max="10"/>
    <col width="8" customWidth="1" min="11" max="11"/>
  </cols>
  <sheetData>
    <row r="1">
      <c r="A1" s="1" t="inlineStr">
        <is>
          <t>PROGRAMA ARQUITECTÓNICO · FIC-UNI · resumen por edificio y nivel</t>
        </is>
      </c>
    </row>
    <row r="3">
      <c r="A3" s="2" t="inlineStr">
        <is>
          <t>Edificio</t>
        </is>
      </c>
      <c r="B3" s="2" t="inlineStr">
        <is>
          <t>Nivel</t>
        </is>
      </c>
      <c r="C3" s="2" t="inlineStr">
        <is>
          <t>Cota (m)</t>
        </is>
      </c>
      <c r="D3" s="2" t="inlineStr">
        <is>
          <t>Uso principal</t>
        </is>
      </c>
      <c r="E3" s="2" t="inlineStr">
        <is>
          <t>Útil (m²)</t>
        </is>
      </c>
      <c r="F3" s="2" t="inlineStr">
        <is>
          <t>Circulación (m²)</t>
        </is>
      </c>
      <c r="G3" s="2" t="inlineStr">
        <is>
          <t>Libre (m²)</t>
        </is>
      </c>
      <c r="H3" s="2" t="inlineStr">
        <is>
          <t>Muros y tolerancia (m²)</t>
        </is>
      </c>
      <c r="I3" s="2" t="inlineStr">
        <is>
          <t>Huella (m²)</t>
        </is>
      </c>
      <c r="J3" s="2" t="inlineStr">
        <is>
          <t>Aforo</t>
        </is>
      </c>
      <c r="K3" s="2" t="inlineStr">
        <is>
          <t>Plazas</t>
        </is>
      </c>
    </row>
    <row r="4">
      <c r="A4" s="3" t="inlineStr">
        <is>
          <t>Edificio 1</t>
        </is>
      </c>
      <c r="B4" s="3" t="inlineStr">
        <is>
          <t>Sótano 2</t>
        </is>
      </c>
      <c r="C4" s="4" t="n">
        <v>-6</v>
      </c>
      <c r="D4" s="3" t="inlineStr">
        <is>
          <t>Estacionamiento, cisterna y bombas</t>
        </is>
      </c>
      <c r="E4" s="5">
        <f>'Edificio 1'!G11</f>
        <v/>
      </c>
      <c r="F4" s="5">
        <f>'Edificio 1'!G12</f>
        <v/>
      </c>
      <c r="G4" s="5" t="n">
        <v>0</v>
      </c>
      <c r="H4" s="5">
        <f>'Edificio 1'!G13</f>
        <v/>
      </c>
      <c r="I4" s="5">
        <f>'Edificio 1'!G14</f>
        <v/>
      </c>
      <c r="J4" s="3">
        <f>'Edificio 1'!H11</f>
        <v/>
      </c>
      <c r="K4" s="3" t="n">
        <v>9</v>
      </c>
    </row>
    <row r="5">
      <c r="A5" s="3" t="inlineStr">
        <is>
          <t>Edificio 1</t>
        </is>
      </c>
      <c r="B5" s="3" t="inlineStr">
        <is>
          <t>Sótano 1</t>
        </is>
      </c>
      <c r="C5" s="4" t="n">
        <v>-3</v>
      </c>
      <c r="D5" s="3" t="inlineStr">
        <is>
          <t>Estacionamiento, grupo electrógeno y depósito</t>
        </is>
      </c>
      <c r="E5" s="5">
        <f>'Edificio 1'!G24</f>
        <v/>
      </c>
      <c r="F5" s="5">
        <f>'Edificio 1'!G25</f>
        <v/>
      </c>
      <c r="G5" s="5" t="n">
        <v>0</v>
      </c>
      <c r="H5" s="5">
        <f>'Edificio 1'!G26</f>
        <v/>
      </c>
      <c r="I5" s="5">
        <f>'Edificio 1'!G27</f>
        <v/>
      </c>
      <c r="J5" s="3">
        <f>'Edificio 1'!H24</f>
        <v/>
      </c>
      <c r="K5" s="3" t="n">
        <v>9</v>
      </c>
    </row>
    <row r="6">
      <c r="A6" s="3" t="inlineStr">
        <is>
          <t>Edificio 1</t>
        </is>
      </c>
      <c r="B6" s="3" t="inlineStr">
        <is>
          <t>Piso 1</t>
        </is>
      </c>
      <c r="C6" s="4" t="n">
        <v>0</v>
      </c>
      <c r="D6" s="3" t="inlineStr">
        <is>
          <t>Hall, sala de estudio y administración</t>
        </is>
      </c>
      <c r="E6" s="5">
        <f>'Edificio 1'!G38</f>
        <v/>
      </c>
      <c r="F6" s="5">
        <f>'Edificio 1'!G39</f>
        <v/>
      </c>
      <c r="G6" s="5" t="n">
        <v>0</v>
      </c>
      <c r="H6" s="5">
        <f>'Edificio 1'!G40</f>
        <v/>
      </c>
      <c r="I6" s="5">
        <f>'Edificio 1'!G41</f>
        <v/>
      </c>
      <c r="J6" s="3">
        <f>'Edificio 1'!H38</f>
        <v/>
      </c>
      <c r="K6" s="3" t="n"/>
    </row>
    <row r="7">
      <c r="A7" s="3" t="inlineStr">
        <is>
          <t>Edificio 1</t>
        </is>
      </c>
      <c r="B7" s="3" t="inlineStr">
        <is>
          <t>Piso 2</t>
        </is>
      </c>
      <c r="C7" s="4" t="n">
        <v>3</v>
      </c>
      <c r="D7" s="3" t="inlineStr">
        <is>
          <t>Laboratorio 1 y aula de cómputo</t>
        </is>
      </c>
      <c r="E7" s="5">
        <f>'Edificio 1'!G51</f>
        <v/>
      </c>
      <c r="F7" s="5">
        <f>'Edificio 1'!G52</f>
        <v/>
      </c>
      <c r="G7" s="5" t="n">
        <v>0</v>
      </c>
      <c r="H7" s="5">
        <f>'Edificio 1'!G53</f>
        <v/>
      </c>
      <c r="I7" s="5">
        <f>'Edificio 1'!G54</f>
        <v/>
      </c>
      <c r="J7" s="3">
        <f>'Edificio 1'!H51</f>
        <v/>
      </c>
      <c r="K7" s="3" t="n"/>
    </row>
    <row r="8">
      <c r="A8" s="3" t="inlineStr">
        <is>
          <t>Edificio 1</t>
        </is>
      </c>
      <c r="B8" s="3" t="inlineStr">
        <is>
          <t>Piso 3</t>
        </is>
      </c>
      <c r="C8" s="4" t="n">
        <v>6</v>
      </c>
      <c r="D8" s="3" t="inlineStr">
        <is>
          <t>Laboratorio 2 y aula BIM</t>
        </is>
      </c>
      <c r="E8" s="5">
        <f>'Edificio 1'!G64</f>
        <v/>
      </c>
      <c r="F8" s="5">
        <f>'Edificio 1'!G65</f>
        <v/>
      </c>
      <c r="G8" s="5" t="n">
        <v>0</v>
      </c>
      <c r="H8" s="5">
        <f>'Edificio 1'!G66</f>
        <v/>
      </c>
      <c r="I8" s="5">
        <f>'Edificio 1'!G67</f>
        <v/>
      </c>
      <c r="J8" s="3">
        <f>'Edificio 1'!H64</f>
        <v/>
      </c>
      <c r="K8" s="3" t="n"/>
    </row>
    <row r="9">
      <c r="A9" s="3" t="inlineStr">
        <is>
          <t>Edificio 1</t>
        </is>
      </c>
      <c r="B9" s="3" t="inlineStr">
        <is>
          <t>Piso 4</t>
        </is>
      </c>
      <c r="C9" s="4" t="n">
        <v>9</v>
      </c>
      <c r="D9" s="3" t="inlineStr">
        <is>
          <t>Laboratorio 3, oficina y depósito de impresoras</t>
        </is>
      </c>
      <c r="E9" s="5">
        <f>'Edificio 1'!G78</f>
        <v/>
      </c>
      <c r="F9" s="5">
        <f>'Edificio 1'!G79</f>
        <v/>
      </c>
      <c r="G9" s="5" t="n">
        <v>0</v>
      </c>
      <c r="H9" s="5">
        <f>'Edificio 1'!G80</f>
        <v/>
      </c>
      <c r="I9" s="5">
        <f>'Edificio 1'!G81</f>
        <v/>
      </c>
      <c r="J9" s="3">
        <f>'Edificio 1'!H78</f>
        <v/>
      </c>
      <c r="K9" s="3" t="n"/>
    </row>
    <row r="10">
      <c r="A10" s="3" t="inlineStr">
        <is>
          <t>Edificio 1</t>
        </is>
      </c>
      <c r="B10" s="3" t="inlineStr">
        <is>
          <t>Piso 5</t>
        </is>
      </c>
      <c r="C10" s="4" t="n">
        <v>12</v>
      </c>
      <c r="D10" s="3" t="inlineStr">
        <is>
          <t>Aula taller con oficina y depósito</t>
        </is>
      </c>
      <c r="E10" s="5">
        <f>'Edificio 1'!G92</f>
        <v/>
      </c>
      <c r="F10" s="5">
        <f>'Edificio 1'!G93</f>
        <v/>
      </c>
      <c r="G10" s="5" t="n">
        <v>0</v>
      </c>
      <c r="H10" s="5">
        <f>'Edificio 1'!G94</f>
        <v/>
      </c>
      <c r="I10" s="5">
        <f>'Edificio 1'!G95</f>
        <v/>
      </c>
      <c r="J10" s="3">
        <f>'Edificio 1'!H92</f>
        <v/>
      </c>
      <c r="K10" s="3" t="n"/>
    </row>
    <row r="11">
      <c r="A11" s="3" t="inlineStr">
        <is>
          <t>Edificio 1</t>
        </is>
      </c>
      <c r="B11" s="3" t="inlineStr">
        <is>
          <t>Piso 6</t>
        </is>
      </c>
      <c r="C11" s="4" t="n">
        <v>15</v>
      </c>
      <c r="D11" s="3" t="inlineStr">
        <is>
          <t>3 aulas teóricas y sala de reuniones</t>
        </is>
      </c>
      <c r="E11" s="5">
        <f>'Edificio 1'!G104</f>
        <v/>
      </c>
      <c r="F11" s="5">
        <f>'Edificio 1'!G105</f>
        <v/>
      </c>
      <c r="G11" s="5" t="n">
        <v>0</v>
      </c>
      <c r="H11" s="5">
        <f>'Edificio 1'!G106</f>
        <v/>
      </c>
      <c r="I11" s="5">
        <f>'Edificio 1'!G107</f>
        <v/>
      </c>
      <c r="J11" s="3">
        <f>'Edificio 1'!H104</f>
        <v/>
      </c>
      <c r="K11" s="3" t="n"/>
    </row>
    <row r="12">
      <c r="A12" s="3" t="inlineStr">
        <is>
          <t>Edificio 1</t>
        </is>
      </c>
      <c r="B12" s="3" t="inlineStr">
        <is>
          <t>Piso 7</t>
        </is>
      </c>
      <c r="C12" s="4" t="n">
        <v>18</v>
      </c>
      <c r="D12" s="3" t="inlineStr">
        <is>
          <t>Aula magna de 60 personas, foyer y terraza</t>
        </is>
      </c>
      <c r="E12" s="5">
        <f>'Edificio 1'!G119</f>
        <v/>
      </c>
      <c r="F12" s="5">
        <f>'Edificio 1'!G120</f>
        <v/>
      </c>
      <c r="G12" s="5">
        <f>'Edificio 1'!G121</f>
        <v/>
      </c>
      <c r="H12" s="5">
        <f>'Edificio 1'!G122</f>
        <v/>
      </c>
      <c r="I12" s="5">
        <f>'Edificio 1'!G123</f>
        <v/>
      </c>
      <c r="J12" s="3">
        <f>'Edificio 1'!H119</f>
        <v/>
      </c>
      <c r="K12" s="3" t="n"/>
    </row>
    <row r="13">
      <c r="A13" s="3" t="inlineStr">
        <is>
          <t>Edificio 1</t>
        </is>
      </c>
      <c r="B13" s="3" t="inlineStr">
        <is>
          <t>Azotea técnica</t>
        </is>
      </c>
      <c r="C13" s="4" t="n">
        <v>21</v>
      </c>
      <c r="D13" s="3" t="inlineStr">
        <is>
          <t>Tanque elevado y equipos de extracción</t>
        </is>
      </c>
      <c r="E13" s="5">
        <f>'Edificio 1'!G129</f>
        <v/>
      </c>
      <c r="F13" s="5">
        <f>'Edificio 1'!G130</f>
        <v/>
      </c>
      <c r="G13" s="5">
        <f>'Edificio 1'!G131</f>
        <v/>
      </c>
      <c r="H13" s="5">
        <f>'Edificio 1'!G132</f>
        <v/>
      </c>
      <c r="I13" s="5">
        <f>'Edificio 1'!G133</f>
        <v/>
      </c>
      <c r="J13" s="3">
        <f>'Edificio 1'!H129</f>
        <v/>
      </c>
      <c r="K13" s="3" t="n"/>
    </row>
    <row r="14">
      <c r="A14" s="6" t="inlineStr">
        <is>
          <t>EDIFICIO 1</t>
        </is>
      </c>
      <c r="B14" s="6" t="inlineStr">
        <is>
          <t>TOTAL (sin azotea)</t>
        </is>
      </c>
      <c r="C14" s="6" t="n"/>
      <c r="D14" s="6" t="n"/>
      <c r="E14" s="7">
        <f>SUM(E4:E12)</f>
        <v/>
      </c>
      <c r="F14" s="7">
        <f>SUM(F4:F12)</f>
        <v/>
      </c>
      <c r="G14" s="7">
        <f>SUM(G4:G12)</f>
        <v/>
      </c>
      <c r="H14" s="7">
        <f>SUM(H4:H12)</f>
        <v/>
      </c>
      <c r="I14" s="7">
        <f>SUM(I4:I12)</f>
        <v/>
      </c>
      <c r="J14" s="6">
        <f>SUM(J4:J12)</f>
        <v/>
      </c>
      <c r="K14" s="6">
        <f>SUM(K4:K12)</f>
        <v/>
      </c>
    </row>
    <row r="15">
      <c r="A15" s="3" t="inlineStr">
        <is>
          <t>Edificio 2</t>
        </is>
      </c>
      <c r="B15" s="3" t="inlineStr">
        <is>
          <t>Sótano 1</t>
        </is>
      </c>
      <c r="C15" s="4" t="n">
        <v>-3</v>
      </c>
      <c r="D15" s="3" t="inlineStr">
        <is>
          <t>Piso de servidumbre: depósito y equipos</t>
        </is>
      </c>
      <c r="E15" s="5">
        <f>'Edificio 2'!G12</f>
        <v/>
      </c>
      <c r="F15" s="5">
        <f>'Edificio 2'!G13</f>
        <v/>
      </c>
      <c r="G15" s="5" t="n">
        <v>0</v>
      </c>
      <c r="H15" s="5">
        <f>'Edificio 2'!G14</f>
        <v/>
      </c>
      <c r="I15" s="5">
        <f>'Edificio 2'!G15</f>
        <v/>
      </c>
      <c r="J15" s="3">
        <f>'Edificio 2'!H12</f>
        <v/>
      </c>
      <c r="K15" s="3" t="n"/>
    </row>
    <row r="16">
      <c r="A16" s="3" t="inlineStr">
        <is>
          <t>Edificio 2</t>
        </is>
      </c>
      <c r="B16" s="3" t="inlineStr">
        <is>
          <t>Piso 1</t>
        </is>
      </c>
      <c r="C16" s="4" t="n">
        <v>0</v>
      </c>
      <c r="D16" s="3" t="inlineStr">
        <is>
          <t>Cafetería y hall de acceso</t>
        </is>
      </c>
      <c r="E16" s="5">
        <f>'Edificio 2'!G26</f>
        <v/>
      </c>
      <c r="F16" s="5">
        <f>'Edificio 2'!G27</f>
        <v/>
      </c>
      <c r="G16" s="5" t="n">
        <v>0</v>
      </c>
      <c r="H16" s="5">
        <f>'Edificio 2'!G28</f>
        <v/>
      </c>
      <c r="I16" s="5">
        <f>'Edificio 2'!G29</f>
        <v/>
      </c>
      <c r="J16" s="3">
        <f>'Edificio 2'!H26</f>
        <v/>
      </c>
      <c r="K16" s="3" t="n"/>
    </row>
    <row r="17">
      <c r="A17" s="3" t="inlineStr">
        <is>
          <t>Edificio 2</t>
        </is>
      </c>
      <c r="B17" s="3" t="inlineStr">
        <is>
          <t>Piso 2</t>
        </is>
      </c>
      <c r="C17" s="4" t="n">
        <v>3</v>
      </c>
      <c r="D17" s="3" t="inlineStr">
        <is>
          <t>Aula de idiomas 1 y sala de práctica</t>
        </is>
      </c>
      <c r="E17" s="5">
        <f>'Edificio 2'!G39</f>
        <v/>
      </c>
      <c r="F17" s="5">
        <f>'Edificio 2'!G40</f>
        <v/>
      </c>
      <c r="G17" s="5" t="n">
        <v>0</v>
      </c>
      <c r="H17" s="5">
        <f>'Edificio 2'!G41</f>
        <v/>
      </c>
      <c r="I17" s="5">
        <f>'Edificio 2'!G42</f>
        <v/>
      </c>
      <c r="J17" s="3">
        <f>'Edificio 2'!H39</f>
        <v/>
      </c>
      <c r="K17" s="3" t="n"/>
    </row>
    <row r="18">
      <c r="A18" s="3" t="inlineStr">
        <is>
          <t>Edificio 2</t>
        </is>
      </c>
      <c r="B18" s="3" t="inlineStr">
        <is>
          <t>Piso 3</t>
        </is>
      </c>
      <c r="C18" s="4" t="n">
        <v>6</v>
      </c>
      <c r="D18" s="3" t="inlineStr">
        <is>
          <t>Aula de idiomas 2 y sala de práctica</t>
        </is>
      </c>
      <c r="E18" s="5">
        <f>'Edificio 2'!G52</f>
        <v/>
      </c>
      <c r="F18" s="5">
        <f>'Edificio 2'!G53</f>
        <v/>
      </c>
      <c r="G18" s="5" t="n">
        <v>0</v>
      </c>
      <c r="H18" s="5">
        <f>'Edificio 2'!G54</f>
        <v/>
      </c>
      <c r="I18" s="5">
        <f>'Edificio 2'!G55</f>
        <v/>
      </c>
      <c r="J18" s="3">
        <f>'Edificio 2'!H52</f>
        <v/>
      </c>
      <c r="K18" s="3" t="n"/>
    </row>
    <row r="19">
      <c r="A19" s="3" t="inlineStr">
        <is>
          <t>Edificio 2</t>
        </is>
      </c>
      <c r="B19" s="3" t="inlineStr">
        <is>
          <t>Piso 4</t>
        </is>
      </c>
      <c r="C19" s="4" t="n">
        <v>9</v>
      </c>
      <c r="D19" s="3" t="inlineStr">
        <is>
          <t>Aula de idiomas 3 y sala de práctica</t>
        </is>
      </c>
      <c r="E19" s="5">
        <f>'Edificio 2'!G65</f>
        <v/>
      </c>
      <c r="F19" s="5">
        <f>'Edificio 2'!G66</f>
        <v/>
      </c>
      <c r="G19" s="5" t="n">
        <v>0</v>
      </c>
      <c r="H19" s="5">
        <f>'Edificio 2'!G67</f>
        <v/>
      </c>
      <c r="I19" s="5">
        <f>'Edificio 2'!G68</f>
        <v/>
      </c>
      <c r="J19" s="3">
        <f>'Edificio 2'!H65</f>
        <v/>
      </c>
      <c r="K19" s="3" t="n"/>
    </row>
    <row r="20">
      <c r="A20" s="6" t="inlineStr">
        <is>
          <t>EDIFICIO 2</t>
        </is>
      </c>
      <c r="B20" s="6" t="inlineStr">
        <is>
          <t>TOTAL</t>
        </is>
      </c>
      <c r="C20" s="6" t="n"/>
      <c r="D20" s="6" t="n"/>
      <c r="E20" s="7">
        <f>SUM(E15:E19)</f>
        <v/>
      </c>
      <c r="F20" s="7">
        <f>SUM(F15:F19)</f>
        <v/>
      </c>
      <c r="G20" s="7">
        <f>SUM(G15:G19)</f>
        <v/>
      </c>
      <c r="H20" s="7">
        <f>SUM(H15:H19)</f>
        <v/>
      </c>
      <c r="I20" s="7">
        <f>SUM(I15:I19)</f>
        <v/>
      </c>
      <c r="J20" s="6">
        <f>SUM(J15:J19)</f>
        <v/>
      </c>
      <c r="K20" s="6">
        <f>SUM(K15:K19)</f>
        <v/>
      </c>
    </row>
    <row r="21">
      <c r="A21" s="6" t="inlineStr">
        <is>
          <t>CONJUNTO</t>
        </is>
      </c>
      <c r="B21" s="6" t="inlineStr">
        <is>
          <t>E1 + E2</t>
        </is>
      </c>
      <c r="C21" s="6" t="n"/>
      <c r="D21" s="6" t="n"/>
      <c r="E21" s="7">
        <f>E14+E20</f>
        <v/>
      </c>
      <c r="F21" s="7">
        <f>F14+F20</f>
        <v/>
      </c>
      <c r="G21" s="7">
        <f>G14+G20</f>
        <v/>
      </c>
      <c r="H21" s="7">
        <f>H14+H20</f>
        <v/>
      </c>
      <c r="I21" s="7">
        <f>I14+I20</f>
        <v/>
      </c>
      <c r="J21" s="6">
        <f>J14+J20</f>
        <v/>
      </c>
      <c r="K21" s="6">
        <f>K14+K20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  <col width="22" customWidth="1" min="4" max="4"/>
    <col width="7" customWidth="1" min="5" max="5"/>
    <col width="14" customWidth="1" min="6" max="6"/>
    <col width="14" customWidth="1" min="7" max="7"/>
    <col width="8" customWidth="1" min="8" max="8"/>
    <col width="28" customWidth="1" min="9" max="9"/>
    <col width="50" customWidth="1" min="10" max="10"/>
  </cols>
  <sheetData>
    <row r="1">
      <c r="A1" s="1" t="inlineStr">
        <is>
          <t>EDIFICIO 1 · huella 26.16 × 15.42 m = 403.4 m² · 9 niveles + azotea técnica</t>
        </is>
      </c>
    </row>
    <row r="3">
      <c r="A3" s="2" t="inlineStr">
        <is>
          <t>Nivel</t>
        </is>
      </c>
      <c r="B3" s="2" t="inlineStr">
        <is>
          <t>Cota (m)</t>
        </is>
      </c>
      <c r="C3" s="2" t="inlineStr">
        <is>
          <t>Ambiente</t>
        </is>
      </c>
      <c r="D3" s="2" t="inlineStr">
        <is>
          <t>Categoría</t>
        </is>
      </c>
      <c r="E3" s="2" t="inlineStr">
        <is>
          <t>Cant.</t>
        </is>
      </c>
      <c r="F3" s="2" t="inlineStr">
        <is>
          <t>Área unit. (m²)</t>
        </is>
      </c>
      <c r="G3" s="2" t="inlineStr">
        <is>
          <t>Área total (m²)</t>
        </is>
      </c>
      <c r="H3" s="2" t="inlineStr">
        <is>
          <t>Aforo</t>
        </is>
      </c>
      <c r="I3" s="2" t="inlineStr">
        <is>
          <t>Ventilación</t>
        </is>
      </c>
      <c r="J3" s="2" t="inlineStr">
        <is>
          <t>Observaciones</t>
        </is>
      </c>
    </row>
    <row r="4">
      <c r="A4" s="8" t="inlineStr">
        <is>
          <t>SÓTANO 2 · Estacionamiento, cisterna y bombas</t>
        </is>
      </c>
      <c r="B4" s="9" t="n">
        <v>-6</v>
      </c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inlineStr">
        <is>
          <t>Sótano 2</t>
        </is>
      </c>
      <c r="B5" s="4" t="n">
        <v>-6</v>
      </c>
      <c r="C5" s="3" t="inlineStr">
        <is>
          <t>Estacionamiento (9 plazas)</t>
        </is>
      </c>
      <c r="D5" s="3" t="inlineStr">
        <is>
          <t>Estacionamiento y rampa</t>
        </is>
      </c>
      <c r="E5" s="3" t="n">
        <v>1</v>
      </c>
      <c r="F5" s="5" t="n">
        <v>222.3</v>
      </c>
      <c r="G5" s="5">
        <f>E5*F5</f>
        <v/>
      </c>
      <c r="H5" s="3" t="n"/>
      <c r="I5" s="3" t="inlineStr"/>
      <c r="J5" s="3" t="inlineStr"/>
    </row>
    <row r="6">
      <c r="A6" s="3" t="inlineStr">
        <is>
          <t>Sótano 2</t>
        </is>
      </c>
      <c r="B6" s="4" t="n">
        <v>-6</v>
      </c>
      <c r="C6" s="3" t="inlineStr">
        <is>
          <t>Rampa vehicular (tramo interior)</t>
        </is>
      </c>
      <c r="D6" s="3" t="inlineStr">
        <is>
          <t>Estacionamiento y rampa</t>
        </is>
      </c>
      <c r="E6" s="3" t="n">
        <v>1</v>
      </c>
      <c r="F6" s="5" t="n">
        <v>55</v>
      </c>
      <c r="G6" s="5">
        <f>E6*F6</f>
        <v/>
      </c>
      <c r="H6" s="3" t="n"/>
      <c r="I6" s="3" t="inlineStr"/>
      <c r="J6" s="3" t="inlineStr">
        <is>
          <t>El tramo exterior se desarrolla en el área libre (pendiente ≤ 15 %)</t>
        </is>
      </c>
    </row>
    <row r="7">
      <c r="A7" s="3" t="inlineStr">
        <is>
          <t>Sótano 2</t>
        </is>
      </c>
      <c r="B7" s="4" t="n">
        <v>-6</v>
      </c>
      <c r="C7" s="3" t="inlineStr">
        <is>
          <t>Cisterna y cuarto de bombas</t>
        </is>
      </c>
      <c r="D7" s="3" t="inlineStr">
        <is>
          <t>Servidumbre (equipos)</t>
        </is>
      </c>
      <c r="E7" s="3" t="n">
        <v>1</v>
      </c>
      <c r="F7" s="5" t="n">
        <v>60</v>
      </c>
      <c r="G7" s="5">
        <f>E7*F7</f>
        <v/>
      </c>
      <c r="H7" s="3" t="n"/>
      <c r="I7" s="3" t="inlineStr"/>
      <c r="J7" s="3" t="inlineStr">
        <is>
          <t>Piso de servidumbre</t>
        </is>
      </c>
    </row>
    <row r="8">
      <c r="A8" s="3" t="inlineStr">
        <is>
          <t>Sótano 2</t>
        </is>
      </c>
      <c r="B8" s="4" t="n">
        <v>-6</v>
      </c>
      <c r="C8" s="3" t="inlineStr">
        <is>
          <t>Escalera de evacuación protegida</t>
        </is>
      </c>
      <c r="D8" s="3" t="inlineStr">
        <is>
          <t>Escalera y ascensor</t>
        </is>
      </c>
      <c r="E8" s="3" t="n">
        <v>2</v>
      </c>
      <c r="F8" s="5" t="n">
        <v>16</v>
      </c>
      <c r="G8" s="5">
        <f>E8*F8</f>
        <v/>
      </c>
      <c r="H8" s="3" t="n"/>
      <c r="I8" s="3" t="inlineStr"/>
      <c r="J8" s="3" t="inlineStr">
        <is>
          <t>Protegida, ancho libre ≥ 1.20 m</t>
        </is>
      </c>
    </row>
    <row r="9">
      <c r="A9" s="3" t="inlineStr">
        <is>
          <t>Sótano 2</t>
        </is>
      </c>
      <c r="B9" s="4" t="n">
        <v>-6</v>
      </c>
      <c r="C9" s="3" t="inlineStr">
        <is>
          <t>Ductos de instalaciones y ventilación</t>
        </is>
      </c>
      <c r="D9" s="3" t="inlineStr">
        <is>
          <t>SS.HH. y ductos</t>
        </is>
      </c>
      <c r="E9" s="3" t="n">
        <v>1</v>
      </c>
      <c r="F9" s="5" t="n">
        <v>8</v>
      </c>
      <c r="G9" s="5">
        <f>E9*F9</f>
        <v/>
      </c>
      <c r="H9" s="3" t="n"/>
      <c r="I9" s="3" t="inlineStr"/>
      <c r="J9" s="3" t="inlineStr">
        <is>
          <t>Incluye ducto de extracción</t>
        </is>
      </c>
    </row>
    <row r="10">
      <c r="A10" s="3" t="inlineStr">
        <is>
          <t>Sótano 2</t>
        </is>
      </c>
      <c r="B10" s="4" t="n">
        <v>-6</v>
      </c>
      <c r="C10" s="3" t="inlineStr">
        <is>
          <t>Ascensor accesible (cabina camilla)</t>
        </is>
      </c>
      <c r="D10" s="3" t="inlineStr">
        <is>
          <t>Escalera y ascensor</t>
        </is>
      </c>
      <c r="E10" s="3" t="n">
        <v>1</v>
      </c>
      <c r="F10" s="5" t="n">
        <v>7</v>
      </c>
      <c r="G10" s="5">
        <f>E10*F10</f>
        <v/>
      </c>
      <c r="H10" s="3" t="n"/>
      <c r="I10" s="3" t="inlineStr"/>
      <c r="J10" s="3" t="inlineStr">
        <is>
          <t>Acceso universal (RNE A.120)</t>
        </is>
      </c>
    </row>
    <row r="11">
      <c r="A11" s="10" t="inlineStr">
        <is>
          <t>Sótano 2</t>
        </is>
      </c>
      <c r="B11" s="11" t="n">
        <v>-6</v>
      </c>
      <c r="C11" s="10" t="inlineStr">
        <is>
          <t>Subtotal área útil (techada)</t>
        </is>
      </c>
      <c r="D11" s="10" t="n"/>
      <c r="E11" s="10" t="n"/>
      <c r="F11" s="12" t="n"/>
      <c r="G11" s="12">
        <f>SUM(G5:G10)</f>
        <v/>
      </c>
      <c r="H11" s="10">
        <f>SUM(H5:H10)</f>
        <v/>
      </c>
      <c r="I11" s="10" t="n"/>
      <c r="J11" s="10" t="n"/>
    </row>
    <row r="12">
      <c r="A12" s="3" t="inlineStr">
        <is>
          <t>Sótano 2</t>
        </is>
      </c>
      <c r="B12" s="4" t="n">
        <v>-6</v>
      </c>
      <c r="C12" s="3" t="inlineStr">
        <is>
          <t>Circulación horizontal y hall (corredores, galería, vestíbulos)</t>
        </is>
      </c>
      <c r="D12" s="3" t="inlineStr">
        <is>
          <t>Circulación y hall</t>
        </is>
      </c>
      <c r="E12" s="3" t="n"/>
      <c r="F12" s="5" t="n"/>
      <c r="G12" s="5" t="n">
        <v>19.1</v>
      </c>
      <c r="H12" s="3" t="n"/>
      <c r="I12" s="3" t="n"/>
      <c r="J12" s="3" t="inlineStr">
        <is>
          <t>Sale de la planta dibujada</t>
        </is>
      </c>
    </row>
    <row r="13">
      <c r="A13" s="3" t="inlineStr">
        <is>
          <t>Sótano 2</t>
        </is>
      </c>
      <c r="B13" s="4" t="n">
        <v>-6</v>
      </c>
      <c r="C13" s="3" t="inlineStr">
        <is>
          <t>Muros, columnas y tolerancia</t>
        </is>
      </c>
      <c r="D13" s="3" t="inlineStr">
        <is>
          <t>Muros y tolerancia</t>
        </is>
      </c>
      <c r="E13" s="3" t="n"/>
      <c r="F13" s="5" t="n"/>
      <c r="G13" s="5">
        <f>MAX(0,ROUND(G14-G11-G12,1))</f>
        <v/>
      </c>
      <c r="H13" s="3" t="n"/>
      <c r="I13" s="3" t="n"/>
      <c r="J13" s="3" t="inlineStr">
        <is>
          <t>Las áreas se miden a ejes de muros</t>
        </is>
      </c>
    </row>
    <row r="14">
      <c r="A14" s="6" t="inlineStr">
        <is>
          <t>Sótano 2</t>
        </is>
      </c>
      <c r="B14" s="13" t="n">
        <v>-6</v>
      </c>
      <c r="C14" s="6" t="inlineStr">
        <is>
          <t>ÁREA BRUTA DEL NIVEL (huella)</t>
        </is>
      </c>
      <c r="D14" s="6" t="n"/>
      <c r="E14" s="6" t="n"/>
      <c r="F14" s="7" t="n"/>
      <c r="G14" s="7" t="n">
        <v>403.4</v>
      </c>
      <c r="H14" s="6" t="n"/>
      <c r="I14" s="6" t="n"/>
      <c r="J14" s="6" t="n"/>
    </row>
    <row r="16">
      <c r="A16" s="8" t="inlineStr">
        <is>
          <t>SÓTANO 1 · Estacionamiento, grupo electrógeno y depósito</t>
        </is>
      </c>
      <c r="B16" s="9" t="n">
        <v>-3</v>
      </c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inlineStr">
        <is>
          <t>Sótano 1</t>
        </is>
      </c>
      <c r="B17" s="4" t="n">
        <v>-3</v>
      </c>
      <c r="C17" s="3" t="inlineStr">
        <is>
          <t>Estacionamiento (9 plazas)</t>
        </is>
      </c>
      <c r="D17" s="3" t="inlineStr">
        <is>
          <t>Estacionamiento y rampa</t>
        </is>
      </c>
      <c r="E17" s="3" t="n">
        <v>1</v>
      </c>
      <c r="F17" s="5" t="n">
        <v>222.3</v>
      </c>
      <c r="G17" s="5">
        <f>E17*F17</f>
        <v/>
      </c>
      <c r="H17" s="3" t="n"/>
      <c r="I17" s="3" t="inlineStr"/>
      <c r="J17" s="3" t="inlineStr"/>
    </row>
    <row r="18">
      <c r="A18" s="3" t="inlineStr">
        <is>
          <t>Sótano 1</t>
        </is>
      </c>
      <c r="B18" s="4" t="n">
        <v>-3</v>
      </c>
      <c r="C18" s="3" t="inlineStr">
        <is>
          <t>Rampa vehicular (tramo interior)</t>
        </is>
      </c>
      <c r="D18" s="3" t="inlineStr">
        <is>
          <t>Estacionamiento y rampa</t>
        </is>
      </c>
      <c r="E18" s="3" t="n">
        <v>1</v>
      </c>
      <c r="F18" s="5" t="n">
        <v>55</v>
      </c>
      <c r="G18" s="5">
        <f>E18*F18</f>
        <v/>
      </c>
      <c r="H18" s="3" t="n"/>
      <c r="I18" s="3" t="inlineStr"/>
      <c r="J18" s="3" t="inlineStr">
        <is>
          <t>El tramo exterior se desarrolla en el área libre (pendiente ≤ 15 %)</t>
        </is>
      </c>
    </row>
    <row r="19">
      <c r="A19" s="3" t="inlineStr">
        <is>
          <t>Sótano 1</t>
        </is>
      </c>
      <c r="B19" s="4" t="n">
        <v>-3</v>
      </c>
      <c r="C19" s="3" t="inlineStr">
        <is>
          <t>Grupo electrógeno y tableros</t>
        </is>
      </c>
      <c r="D19" s="3" t="inlineStr">
        <is>
          <t>Servidumbre (equipos)</t>
        </is>
      </c>
      <c r="E19" s="3" t="n">
        <v>1</v>
      </c>
      <c r="F19" s="5" t="n">
        <v>35</v>
      </c>
      <c r="G19" s="5">
        <f>E19*F19</f>
        <v/>
      </c>
      <c r="H19" s="3" t="n"/>
      <c r="I19" s="3" t="inlineStr"/>
      <c r="J19" s="3" t="inlineStr">
        <is>
          <t>Piso de servidumbre</t>
        </is>
      </c>
    </row>
    <row r="20">
      <c r="A20" s="3" t="inlineStr">
        <is>
          <t>Sótano 1</t>
        </is>
      </c>
      <c r="B20" s="4" t="n">
        <v>-3</v>
      </c>
      <c r="C20" s="3" t="inlineStr">
        <is>
          <t>Depósito general</t>
        </is>
      </c>
      <c r="D20" s="3" t="inlineStr">
        <is>
          <t>Depósitos</t>
        </is>
      </c>
      <c r="E20" s="3" t="n">
        <v>1</v>
      </c>
      <c r="F20" s="5" t="n">
        <v>25</v>
      </c>
      <c r="G20" s="5">
        <f>E20*F20</f>
        <v/>
      </c>
      <c r="H20" s="3" t="n"/>
      <c r="I20" s="3" t="inlineStr"/>
      <c r="J20" s="3" t="inlineStr"/>
    </row>
    <row r="21">
      <c r="A21" s="3" t="inlineStr">
        <is>
          <t>Sótano 1</t>
        </is>
      </c>
      <c r="B21" s="4" t="n">
        <v>-3</v>
      </c>
      <c r="C21" s="3" t="inlineStr">
        <is>
          <t>Escalera de evacuación protegida</t>
        </is>
      </c>
      <c r="D21" s="3" t="inlineStr">
        <is>
          <t>Escalera y ascensor</t>
        </is>
      </c>
      <c r="E21" s="3" t="n">
        <v>2</v>
      </c>
      <c r="F21" s="5" t="n">
        <v>16</v>
      </c>
      <c r="G21" s="5">
        <f>E21*F21</f>
        <v/>
      </c>
      <c r="H21" s="3" t="n"/>
      <c r="I21" s="3" t="inlineStr"/>
      <c r="J21" s="3" t="inlineStr">
        <is>
          <t>Protegida, ancho libre ≥ 1.20 m</t>
        </is>
      </c>
    </row>
    <row r="22">
      <c r="A22" s="3" t="inlineStr">
        <is>
          <t>Sótano 1</t>
        </is>
      </c>
      <c r="B22" s="4" t="n">
        <v>-3</v>
      </c>
      <c r="C22" s="3" t="inlineStr">
        <is>
          <t>Ductos de instalaciones y ventilación</t>
        </is>
      </c>
      <c r="D22" s="3" t="inlineStr">
        <is>
          <t>SS.HH. y ductos</t>
        </is>
      </c>
      <c r="E22" s="3" t="n">
        <v>1</v>
      </c>
      <c r="F22" s="5" t="n">
        <v>8</v>
      </c>
      <c r="G22" s="5">
        <f>E22*F22</f>
        <v/>
      </c>
      <c r="H22" s="3" t="n"/>
      <c r="I22" s="3" t="inlineStr"/>
      <c r="J22" s="3" t="inlineStr">
        <is>
          <t>Incluye ducto de extracción</t>
        </is>
      </c>
    </row>
    <row r="23">
      <c r="A23" s="3" t="inlineStr">
        <is>
          <t>Sótano 1</t>
        </is>
      </c>
      <c r="B23" s="4" t="n">
        <v>-3</v>
      </c>
      <c r="C23" s="3" t="inlineStr">
        <is>
          <t>Ascensor accesible (cabina camilla)</t>
        </is>
      </c>
      <c r="D23" s="3" t="inlineStr">
        <is>
          <t>Escalera y ascensor</t>
        </is>
      </c>
      <c r="E23" s="3" t="n">
        <v>1</v>
      </c>
      <c r="F23" s="5" t="n">
        <v>7</v>
      </c>
      <c r="G23" s="5">
        <f>E23*F23</f>
        <v/>
      </c>
      <c r="H23" s="3" t="n"/>
      <c r="I23" s="3" t="inlineStr"/>
      <c r="J23" s="3" t="inlineStr">
        <is>
          <t>Acceso universal (RNE A.120)</t>
        </is>
      </c>
    </row>
    <row r="24">
      <c r="A24" s="10" t="inlineStr">
        <is>
          <t>Sótano 1</t>
        </is>
      </c>
      <c r="B24" s="11" t="n">
        <v>-3</v>
      </c>
      <c r="C24" s="10" t="inlineStr">
        <is>
          <t>Subtotal área útil (techada)</t>
        </is>
      </c>
      <c r="D24" s="10" t="n"/>
      <c r="E24" s="10" t="n"/>
      <c r="F24" s="12" t="n"/>
      <c r="G24" s="12">
        <f>SUM(G17:G23)</f>
        <v/>
      </c>
      <c r="H24" s="10">
        <f>SUM(H17:H23)</f>
        <v/>
      </c>
      <c r="I24" s="10" t="n"/>
      <c r="J24" s="10" t="n"/>
    </row>
    <row r="25">
      <c r="A25" s="3" t="inlineStr">
        <is>
          <t>Sótano 1</t>
        </is>
      </c>
      <c r="B25" s="4" t="n">
        <v>-3</v>
      </c>
      <c r="C25" s="3" t="inlineStr">
        <is>
          <t>Circulación horizontal y hall (corredores, galería, vestíbulos)</t>
        </is>
      </c>
      <c r="D25" s="3" t="inlineStr">
        <is>
          <t>Circulación y hall</t>
        </is>
      </c>
      <c r="E25" s="3" t="n"/>
      <c r="F25" s="5" t="n"/>
      <c r="G25" s="5" t="n">
        <v>19.1</v>
      </c>
      <c r="H25" s="3" t="n"/>
      <c r="I25" s="3" t="n"/>
      <c r="J25" s="3" t="inlineStr">
        <is>
          <t>Sale de la planta dibujada</t>
        </is>
      </c>
    </row>
    <row r="26">
      <c r="A26" s="3" t="inlineStr">
        <is>
          <t>Sótano 1</t>
        </is>
      </c>
      <c r="B26" s="4" t="n">
        <v>-3</v>
      </c>
      <c r="C26" s="3" t="inlineStr">
        <is>
          <t>Muros, columnas y tolerancia</t>
        </is>
      </c>
      <c r="D26" s="3" t="inlineStr">
        <is>
          <t>Muros y tolerancia</t>
        </is>
      </c>
      <c r="E26" s="3" t="n"/>
      <c r="F26" s="5" t="n"/>
      <c r="G26" s="5">
        <f>MAX(0,ROUND(G27-G24-G25,1))</f>
        <v/>
      </c>
      <c r="H26" s="3" t="n"/>
      <c r="I26" s="3" t="n"/>
      <c r="J26" s="3" t="inlineStr">
        <is>
          <t>Las áreas se miden a ejes de muros</t>
        </is>
      </c>
    </row>
    <row r="27">
      <c r="A27" s="6" t="inlineStr">
        <is>
          <t>Sótano 1</t>
        </is>
      </c>
      <c r="B27" s="13" t="n">
        <v>-3</v>
      </c>
      <c r="C27" s="6" t="inlineStr">
        <is>
          <t>ÁREA BRUTA DEL NIVEL (huella)</t>
        </is>
      </c>
      <c r="D27" s="6" t="n"/>
      <c r="E27" s="6" t="n"/>
      <c r="F27" s="7" t="n"/>
      <c r="G27" s="7" t="n">
        <v>403.4</v>
      </c>
      <c r="H27" s="6" t="n"/>
      <c r="I27" s="6" t="n"/>
      <c r="J27" s="6" t="n"/>
    </row>
    <row r="29">
      <c r="A29" s="8" t="inlineStr">
        <is>
          <t>PISO 1 · Hall, sala de estudio y administración</t>
        </is>
      </c>
      <c r="B29" s="9" t="n">
        <v>0</v>
      </c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3" t="inlineStr">
        <is>
          <t>Piso 1</t>
        </is>
      </c>
      <c r="B30" s="4" t="n">
        <v>0</v>
      </c>
      <c r="C30" s="3" t="inlineStr">
        <is>
          <t>Sala de estudio</t>
        </is>
      </c>
      <c r="D30" s="3" t="inlineStr">
        <is>
          <t>Sala de estudio</t>
        </is>
      </c>
      <c r="E30" s="3" t="n">
        <v>1</v>
      </c>
      <c r="F30" s="5" t="n">
        <v>120</v>
      </c>
      <c r="G30" s="5">
        <f>E30*F30</f>
        <v/>
      </c>
      <c r="H30" s="3" t="n">
        <v>60</v>
      </c>
      <c r="I30" s="3" t="inlineStr">
        <is>
          <t>Natural</t>
        </is>
      </c>
      <c r="J30" s="3" t="inlineStr">
        <is>
          <t>2 m²/persona</t>
        </is>
      </c>
    </row>
    <row r="31">
      <c r="A31" s="3" t="inlineStr">
        <is>
          <t>Piso 1</t>
        </is>
      </c>
      <c r="B31" s="4" t="n">
        <v>0</v>
      </c>
      <c r="C31" s="3" t="inlineStr">
        <is>
          <t>Oficina de coordinación</t>
        </is>
      </c>
      <c r="D31" s="3" t="inlineStr">
        <is>
          <t>Administración y docentes</t>
        </is>
      </c>
      <c r="E31" s="3" t="n">
        <v>1</v>
      </c>
      <c r="F31" s="5" t="n">
        <v>30</v>
      </c>
      <c r="G31" s="5">
        <f>E31*F31</f>
        <v/>
      </c>
      <c r="H31" s="3" t="n">
        <v>4</v>
      </c>
      <c r="I31" s="3" t="inlineStr"/>
      <c r="J31" s="3" t="inlineStr"/>
    </row>
    <row r="32">
      <c r="A32" s="3" t="inlineStr">
        <is>
          <t>Piso 1</t>
        </is>
      </c>
      <c r="B32" s="4" t="n">
        <v>0</v>
      </c>
      <c r="C32" s="3" t="inlineStr">
        <is>
          <t>Recepción y control</t>
        </is>
      </c>
      <c r="D32" s="3" t="inlineStr">
        <is>
          <t>Administración y docentes</t>
        </is>
      </c>
      <c r="E32" s="3" t="n">
        <v>1</v>
      </c>
      <c r="F32" s="5" t="n">
        <v>15</v>
      </c>
      <c r="G32" s="5">
        <f>E32*F32</f>
        <v/>
      </c>
      <c r="H32" s="3" t="n">
        <v>2</v>
      </c>
      <c r="I32" s="3" t="inlineStr"/>
      <c r="J32" s="3" t="inlineStr"/>
    </row>
    <row r="33">
      <c r="A33" s="3" t="inlineStr">
        <is>
          <t>Piso 1</t>
        </is>
      </c>
      <c r="B33" s="4" t="n">
        <v>0</v>
      </c>
      <c r="C33" s="3" t="inlineStr">
        <is>
          <t>Escalera de evacuación protegida</t>
        </is>
      </c>
      <c r="D33" s="3" t="inlineStr">
        <is>
          <t>Escalera y ascensor</t>
        </is>
      </c>
      <c r="E33" s="3" t="n">
        <v>2</v>
      </c>
      <c r="F33" s="5" t="n">
        <v>16</v>
      </c>
      <c r="G33" s="5">
        <f>E33*F33</f>
        <v/>
      </c>
      <c r="H33" s="3" t="n"/>
      <c r="I33" s="3" t="inlineStr"/>
      <c r="J33" s="3" t="inlineStr">
        <is>
          <t>Protegida, ancho libre ≥ 1.20 m</t>
        </is>
      </c>
    </row>
    <row r="34">
      <c r="A34" s="3" t="inlineStr">
        <is>
          <t>Piso 1</t>
        </is>
      </c>
      <c r="B34" s="4" t="n">
        <v>0</v>
      </c>
      <c r="C34" s="3" t="inlineStr">
        <is>
          <t>Ductos de instalaciones y ventilación</t>
        </is>
      </c>
      <c r="D34" s="3" t="inlineStr">
        <is>
          <t>SS.HH. y ductos</t>
        </is>
      </c>
      <c r="E34" s="3" t="n">
        <v>1</v>
      </c>
      <c r="F34" s="5" t="n">
        <v>6</v>
      </c>
      <c r="G34" s="5">
        <f>E34*F34</f>
        <v/>
      </c>
      <c r="H34" s="3" t="n"/>
      <c r="I34" s="3" t="inlineStr"/>
      <c r="J34" s="3" t="inlineStr">
        <is>
          <t>Incluye ducto de extracción</t>
        </is>
      </c>
    </row>
    <row r="35">
      <c r="A35" s="3" t="inlineStr">
        <is>
          <t>Piso 1</t>
        </is>
      </c>
      <c r="B35" s="4" t="n">
        <v>0</v>
      </c>
      <c r="C35" s="3" t="inlineStr">
        <is>
          <t>Ascensor accesible (cabina camilla)</t>
        </is>
      </c>
      <c r="D35" s="3" t="inlineStr">
        <is>
          <t>Escalera y ascensor</t>
        </is>
      </c>
      <c r="E35" s="3" t="n">
        <v>1</v>
      </c>
      <c r="F35" s="5" t="n">
        <v>7</v>
      </c>
      <c r="G35" s="5">
        <f>E35*F35</f>
        <v/>
      </c>
      <c r="H35" s="3" t="n"/>
      <c r="I35" s="3" t="inlineStr"/>
      <c r="J35" s="3" t="inlineStr">
        <is>
          <t>Acceso universal (RNE A.120)</t>
        </is>
      </c>
    </row>
    <row r="36">
      <c r="A36" s="3" t="inlineStr">
        <is>
          <t>Piso 1</t>
        </is>
      </c>
      <c r="B36" s="4" t="n">
        <v>0</v>
      </c>
      <c r="C36" s="3" t="inlineStr">
        <is>
          <t>SS.HH. hombres / mujeres / accesible</t>
        </is>
      </c>
      <c r="D36" s="3" t="inlineStr">
        <is>
          <t>SS.HH. y ductos</t>
        </is>
      </c>
      <c r="E36" s="3" t="n">
        <v>1</v>
      </c>
      <c r="F36" s="5" t="n">
        <v>20</v>
      </c>
      <c r="G36" s="5">
        <f>E36*F36</f>
        <v/>
      </c>
      <c r="H36" s="3" t="n"/>
      <c r="I36" s="3" t="inlineStr"/>
      <c r="J36" s="3" t="inlineStr">
        <is>
          <t>Según aforo del nivel</t>
        </is>
      </c>
    </row>
    <row r="37">
      <c r="A37" s="3" t="inlineStr">
        <is>
          <t>Piso 1</t>
        </is>
      </c>
      <c r="B37" s="4" t="n">
        <v>0</v>
      </c>
      <c r="C37" s="3" t="inlineStr">
        <is>
          <t>Hall de ingreso y distribución</t>
        </is>
      </c>
      <c r="D37" s="3" t="inlineStr">
        <is>
          <t>Circulación y hall</t>
        </is>
      </c>
      <c r="E37" s="3" t="n">
        <v>1</v>
      </c>
      <c r="F37" s="5" t="n">
        <v>88</v>
      </c>
      <c r="G37" s="5">
        <f>E37*F37</f>
        <v/>
      </c>
      <c r="H37" s="3" t="n"/>
      <c r="I37" s="3" t="inlineStr"/>
      <c r="J37" s="3" t="inlineStr">
        <is>
          <t>Ingreso principal</t>
        </is>
      </c>
    </row>
    <row r="38">
      <c r="A38" s="10" t="inlineStr">
        <is>
          <t>Piso 1</t>
        </is>
      </c>
      <c r="B38" s="11" t="n">
        <v>0</v>
      </c>
      <c r="C38" s="10" t="inlineStr">
        <is>
          <t>Subtotal área útil (techada)</t>
        </is>
      </c>
      <c r="D38" s="10" t="n"/>
      <c r="E38" s="10" t="n"/>
      <c r="F38" s="12" t="n"/>
      <c r="G38" s="12">
        <f>SUM(G30:G37)</f>
        <v/>
      </c>
      <c r="H38" s="10">
        <f>SUM(H30:H37)</f>
        <v/>
      </c>
      <c r="I38" s="10" t="n"/>
      <c r="J38" s="10" t="n"/>
    </row>
    <row r="39">
      <c r="A39" s="3" t="inlineStr">
        <is>
          <t>Piso 1</t>
        </is>
      </c>
      <c r="B39" s="4" t="n">
        <v>0</v>
      </c>
      <c r="C39" s="3" t="inlineStr">
        <is>
          <t>Circulación horizontal y hall (corredores, galería, vestíbulos)</t>
        </is>
      </c>
      <c r="D39" s="3" t="inlineStr">
        <is>
          <t>Circulación y hall</t>
        </is>
      </c>
      <c r="E39" s="3" t="n"/>
      <c r="F39" s="5" t="n"/>
      <c r="G39" s="5" t="n">
        <v>84.90000000000001</v>
      </c>
      <c r="H39" s="3" t="n"/>
      <c r="I39" s="3" t="n"/>
      <c r="J39" s="3" t="inlineStr">
        <is>
          <t>Sale de la planta dibujada</t>
        </is>
      </c>
    </row>
    <row r="40">
      <c r="A40" s="3" t="inlineStr">
        <is>
          <t>Piso 1</t>
        </is>
      </c>
      <c r="B40" s="4" t="n">
        <v>0</v>
      </c>
      <c r="C40" s="3" t="inlineStr">
        <is>
          <t>Muros, columnas y tolerancia</t>
        </is>
      </c>
      <c r="D40" s="3" t="inlineStr">
        <is>
          <t>Muros y tolerancia</t>
        </is>
      </c>
      <c r="E40" s="3" t="n"/>
      <c r="F40" s="5" t="n"/>
      <c r="G40" s="5">
        <f>MAX(0,ROUND(G41-G38-G39,1))</f>
        <v/>
      </c>
      <c r="H40" s="3" t="n"/>
      <c r="I40" s="3" t="n"/>
      <c r="J40" s="3" t="inlineStr">
        <is>
          <t>Las áreas se miden a ejes de muros</t>
        </is>
      </c>
    </row>
    <row r="41">
      <c r="A41" s="6" t="inlineStr">
        <is>
          <t>Piso 1</t>
        </is>
      </c>
      <c r="B41" s="13" t="n">
        <v>0</v>
      </c>
      <c r="C41" s="6" t="inlineStr">
        <is>
          <t>ÁREA BRUTA DEL NIVEL (huella)</t>
        </is>
      </c>
      <c r="D41" s="6" t="n"/>
      <c r="E41" s="6" t="n"/>
      <c r="F41" s="7" t="n"/>
      <c r="G41" s="7" t="n">
        <v>403.4</v>
      </c>
      <c r="H41" s="6" t="n"/>
      <c r="I41" s="6" t="n"/>
      <c r="J41" s="6" t="n"/>
    </row>
    <row r="43">
      <c r="A43" s="8" t="inlineStr">
        <is>
          <t>PISO 2 · Laboratorio 1 y aula de cómputo</t>
        </is>
      </c>
      <c r="B43" s="9" t="n">
        <v>3</v>
      </c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3" t="inlineStr">
        <is>
          <t>Piso 2</t>
        </is>
      </c>
      <c r="B44" s="4" t="n">
        <v>3</v>
      </c>
      <c r="C44" s="3" t="inlineStr">
        <is>
          <t>Laboratorio (40 al.)</t>
        </is>
      </c>
      <c r="D44" s="3" t="inlineStr">
        <is>
          <t>Laboratorios</t>
        </is>
      </c>
      <c r="E44" s="3" t="n">
        <v>1</v>
      </c>
      <c r="F44" s="5" t="n">
        <v>200</v>
      </c>
      <c r="G44" s="5">
        <f>E44*F44</f>
        <v/>
      </c>
      <c r="H44" s="3" t="n">
        <v>40</v>
      </c>
      <c r="I44" s="3" t="inlineStr">
        <is>
          <t>Natural + extracción mecánica</t>
        </is>
      </c>
      <c r="J44" s="3" t="inlineStr">
        <is>
          <t>5 m²/alumno; ventilación natural + extracción</t>
        </is>
      </c>
    </row>
    <row r="45">
      <c r="A45" s="3" t="inlineStr">
        <is>
          <t>Piso 2</t>
        </is>
      </c>
      <c r="B45" s="4" t="n">
        <v>3</v>
      </c>
      <c r="C45" s="3" t="inlineStr">
        <is>
          <t>Aula de cómputo (35 PC)</t>
        </is>
      </c>
      <c r="D45" s="3" t="inlineStr">
        <is>
          <t>Cómputo y BIM</t>
        </is>
      </c>
      <c r="E45" s="3" t="n">
        <v>1</v>
      </c>
      <c r="F45" s="5" t="n">
        <v>70</v>
      </c>
      <c r="G45" s="5">
        <f>E45*F45</f>
        <v/>
      </c>
      <c r="H45" s="3" t="n">
        <v>35</v>
      </c>
      <c r="I45" s="3" t="inlineStr">
        <is>
          <t>Natural</t>
        </is>
      </c>
      <c r="J45" s="3" t="inlineStr">
        <is>
          <t>2 m²/PC</t>
        </is>
      </c>
    </row>
    <row r="46">
      <c r="A46" s="3" t="inlineStr">
        <is>
          <t>Piso 2</t>
        </is>
      </c>
      <c r="B46" s="4" t="n">
        <v>3</v>
      </c>
      <c r="C46" s="3" t="inlineStr">
        <is>
          <t>Vestidor con duchas</t>
        </is>
      </c>
      <c r="D46" s="3" t="inlineStr">
        <is>
          <t>Vestidor y duchas</t>
        </is>
      </c>
      <c r="E46" s="3" t="n">
        <v>1</v>
      </c>
      <c r="F46" s="5" t="n">
        <v>30</v>
      </c>
      <c r="G46" s="5">
        <f>E46*F46</f>
        <v/>
      </c>
      <c r="H46" s="3" t="n"/>
      <c r="I46" s="3" t="inlineStr"/>
      <c r="J46" s="3" t="inlineStr">
        <is>
          <t>2 duchas (mínimo 1 por cada 60 al.)</t>
        </is>
      </c>
    </row>
    <row r="47">
      <c r="A47" s="3" t="inlineStr">
        <is>
          <t>Piso 2</t>
        </is>
      </c>
      <c r="B47" s="4" t="n">
        <v>3</v>
      </c>
      <c r="C47" s="3" t="inlineStr">
        <is>
          <t>Escalera de evacuación protegida</t>
        </is>
      </c>
      <c r="D47" s="3" t="inlineStr">
        <is>
          <t>Escalera y ascensor</t>
        </is>
      </c>
      <c r="E47" s="3" t="n">
        <v>2</v>
      </c>
      <c r="F47" s="5" t="n">
        <v>16</v>
      </c>
      <c r="G47" s="5">
        <f>E47*F47</f>
        <v/>
      </c>
      <c r="H47" s="3" t="n"/>
      <c r="I47" s="3" t="inlineStr"/>
      <c r="J47" s="3" t="inlineStr">
        <is>
          <t>Protegida, ancho libre ≥ 1.20 m</t>
        </is>
      </c>
    </row>
    <row r="48">
      <c r="A48" s="3" t="inlineStr">
        <is>
          <t>Piso 2</t>
        </is>
      </c>
      <c r="B48" s="4" t="n">
        <v>3</v>
      </c>
      <c r="C48" s="3" t="inlineStr">
        <is>
          <t>Ductos de instalaciones y ventilación</t>
        </is>
      </c>
      <c r="D48" s="3" t="inlineStr">
        <is>
          <t>SS.HH. y ductos</t>
        </is>
      </c>
      <c r="E48" s="3" t="n">
        <v>1</v>
      </c>
      <c r="F48" s="5" t="n">
        <v>6</v>
      </c>
      <c r="G48" s="5">
        <f>E48*F48</f>
        <v/>
      </c>
      <c r="H48" s="3" t="n"/>
      <c r="I48" s="3" t="inlineStr"/>
      <c r="J48" s="3" t="inlineStr">
        <is>
          <t>Incluye ducto de extracción</t>
        </is>
      </c>
    </row>
    <row r="49">
      <c r="A49" s="3" t="inlineStr">
        <is>
          <t>Piso 2</t>
        </is>
      </c>
      <c r="B49" s="4" t="n">
        <v>3</v>
      </c>
      <c r="C49" s="3" t="inlineStr">
        <is>
          <t>Ascensor accesible (cabina camilla)</t>
        </is>
      </c>
      <c r="D49" s="3" t="inlineStr">
        <is>
          <t>Escalera y ascensor</t>
        </is>
      </c>
      <c r="E49" s="3" t="n">
        <v>1</v>
      </c>
      <c r="F49" s="5" t="n">
        <v>7</v>
      </c>
      <c r="G49" s="5">
        <f>E49*F49</f>
        <v/>
      </c>
      <c r="H49" s="3" t="n"/>
      <c r="I49" s="3" t="inlineStr"/>
      <c r="J49" s="3" t="inlineStr">
        <is>
          <t>Acceso universal (RNE A.120)</t>
        </is>
      </c>
    </row>
    <row r="50">
      <c r="A50" s="3" t="inlineStr">
        <is>
          <t>Piso 2</t>
        </is>
      </c>
      <c r="B50" s="4" t="n">
        <v>3</v>
      </c>
      <c r="C50" s="3" t="inlineStr">
        <is>
          <t>SS.HH. hombres / mujeres / accesible</t>
        </is>
      </c>
      <c r="D50" s="3" t="inlineStr">
        <is>
          <t>SS.HH. y ductos</t>
        </is>
      </c>
      <c r="E50" s="3" t="n">
        <v>1</v>
      </c>
      <c r="F50" s="5" t="n">
        <v>20</v>
      </c>
      <c r="G50" s="5">
        <f>E50*F50</f>
        <v/>
      </c>
      <c r="H50" s="3" t="n"/>
      <c r="I50" s="3" t="inlineStr"/>
      <c r="J50" s="3" t="inlineStr">
        <is>
          <t>Según aforo del nivel</t>
        </is>
      </c>
    </row>
    <row r="51">
      <c r="A51" s="10" t="inlineStr">
        <is>
          <t>Piso 2</t>
        </is>
      </c>
      <c r="B51" s="11" t="n">
        <v>3</v>
      </c>
      <c r="C51" s="10" t="inlineStr">
        <is>
          <t>Subtotal área útil (techada)</t>
        </is>
      </c>
      <c r="D51" s="10" t="n"/>
      <c r="E51" s="10" t="n"/>
      <c r="F51" s="12" t="n"/>
      <c r="G51" s="12">
        <f>SUM(G44:G50)</f>
        <v/>
      </c>
      <c r="H51" s="10">
        <f>SUM(H44:H50)</f>
        <v/>
      </c>
      <c r="I51" s="10" t="n"/>
      <c r="J51" s="10" t="n"/>
    </row>
    <row r="52">
      <c r="A52" s="3" t="inlineStr">
        <is>
          <t>Piso 2</t>
        </is>
      </c>
      <c r="B52" s="4" t="n">
        <v>3</v>
      </c>
      <c r="C52" s="3" t="inlineStr">
        <is>
          <t>Circulación horizontal y hall (corredores, galería, vestíbulos)</t>
        </is>
      </c>
      <c r="D52" s="3" t="inlineStr">
        <is>
          <t>Circulación y hall</t>
        </is>
      </c>
      <c r="E52" s="3" t="n"/>
      <c r="F52" s="5" t="n"/>
      <c r="G52" s="5" t="n">
        <v>37.6</v>
      </c>
      <c r="H52" s="3" t="n"/>
      <c r="I52" s="3" t="n"/>
      <c r="J52" s="3" t="inlineStr">
        <is>
          <t>Sale de la planta dibujada</t>
        </is>
      </c>
    </row>
    <row r="53">
      <c r="A53" s="3" t="inlineStr">
        <is>
          <t>Piso 2</t>
        </is>
      </c>
      <c r="B53" s="4" t="n">
        <v>3</v>
      </c>
      <c r="C53" s="3" t="inlineStr">
        <is>
          <t>Muros, columnas y tolerancia</t>
        </is>
      </c>
      <c r="D53" s="3" t="inlineStr">
        <is>
          <t>Muros y tolerancia</t>
        </is>
      </c>
      <c r="E53" s="3" t="n"/>
      <c r="F53" s="5" t="n"/>
      <c r="G53" s="5">
        <f>MAX(0,ROUND(G54-G51-G52,1))</f>
        <v/>
      </c>
      <c r="H53" s="3" t="n"/>
      <c r="I53" s="3" t="n"/>
      <c r="J53" s="3" t="inlineStr">
        <is>
          <t>Las áreas se miden a ejes de muros</t>
        </is>
      </c>
    </row>
    <row r="54">
      <c r="A54" s="6" t="inlineStr">
        <is>
          <t>Piso 2</t>
        </is>
      </c>
      <c r="B54" s="13" t="n">
        <v>3</v>
      </c>
      <c r="C54" s="6" t="inlineStr">
        <is>
          <t>ÁREA BRUTA DEL NIVEL (huella)</t>
        </is>
      </c>
      <c r="D54" s="6" t="n"/>
      <c r="E54" s="6" t="n"/>
      <c r="F54" s="7" t="n"/>
      <c r="G54" s="7" t="n">
        <v>403.4</v>
      </c>
      <c r="H54" s="6" t="n"/>
      <c r="I54" s="6" t="n"/>
      <c r="J54" s="6" t="n"/>
    </row>
    <row r="56">
      <c r="A56" s="8" t="inlineStr">
        <is>
          <t>PISO 3 · Laboratorio 2 y aula BIM</t>
        </is>
      </c>
      <c r="B56" s="9" t="n">
        <v>6</v>
      </c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3" t="inlineStr">
        <is>
          <t>Piso 3</t>
        </is>
      </c>
      <c r="B57" s="4" t="n">
        <v>6</v>
      </c>
      <c r="C57" s="3" t="inlineStr">
        <is>
          <t>Laboratorio (40 al.)</t>
        </is>
      </c>
      <c r="D57" s="3" t="inlineStr">
        <is>
          <t>Laboratorios</t>
        </is>
      </c>
      <c r="E57" s="3" t="n">
        <v>1</v>
      </c>
      <c r="F57" s="5" t="n">
        <v>200</v>
      </c>
      <c r="G57" s="5">
        <f>E57*F57</f>
        <v/>
      </c>
      <c r="H57" s="3" t="n">
        <v>40</v>
      </c>
      <c r="I57" s="3" t="inlineStr">
        <is>
          <t>Natural + extracción mecánica</t>
        </is>
      </c>
      <c r="J57" s="3" t="inlineStr">
        <is>
          <t>5 m²/alumno; ventilación natural + extracción</t>
        </is>
      </c>
    </row>
    <row r="58">
      <c r="A58" s="3" t="inlineStr">
        <is>
          <t>Piso 3</t>
        </is>
      </c>
      <c r="B58" s="4" t="n">
        <v>6</v>
      </c>
      <c r="C58" s="3" t="inlineStr">
        <is>
          <t>Aula BIM (35 PC)</t>
        </is>
      </c>
      <c r="D58" s="3" t="inlineStr">
        <is>
          <t>Cómputo y BIM</t>
        </is>
      </c>
      <c r="E58" s="3" t="n">
        <v>1</v>
      </c>
      <c r="F58" s="5" t="n">
        <v>70</v>
      </c>
      <c r="G58" s="5">
        <f>E58*F58</f>
        <v/>
      </c>
      <c r="H58" s="3" t="n">
        <v>35</v>
      </c>
      <c r="I58" s="3" t="inlineStr">
        <is>
          <t>Natural</t>
        </is>
      </c>
      <c r="J58" s="3" t="inlineStr">
        <is>
          <t>2 m²/PC</t>
        </is>
      </c>
    </row>
    <row r="59">
      <c r="A59" s="3" t="inlineStr">
        <is>
          <t>Piso 3</t>
        </is>
      </c>
      <c r="B59" s="4" t="n">
        <v>6</v>
      </c>
      <c r="C59" s="3" t="inlineStr">
        <is>
          <t>Vestidor con duchas</t>
        </is>
      </c>
      <c r="D59" s="3" t="inlineStr">
        <is>
          <t>Vestidor y duchas</t>
        </is>
      </c>
      <c r="E59" s="3" t="n">
        <v>1</v>
      </c>
      <c r="F59" s="5" t="n">
        <v>30</v>
      </c>
      <c r="G59" s="5">
        <f>E59*F59</f>
        <v/>
      </c>
      <c r="H59" s="3" t="n"/>
      <c r="I59" s="3" t="inlineStr"/>
      <c r="J59" s="3" t="inlineStr">
        <is>
          <t>2 duchas (mínimo 1 por cada 60 al.)</t>
        </is>
      </c>
    </row>
    <row r="60">
      <c r="A60" s="3" t="inlineStr">
        <is>
          <t>Piso 3</t>
        </is>
      </c>
      <c r="B60" s="4" t="n">
        <v>6</v>
      </c>
      <c r="C60" s="3" t="inlineStr">
        <is>
          <t>Escalera de evacuación protegida</t>
        </is>
      </c>
      <c r="D60" s="3" t="inlineStr">
        <is>
          <t>Escalera y ascensor</t>
        </is>
      </c>
      <c r="E60" s="3" t="n">
        <v>2</v>
      </c>
      <c r="F60" s="5" t="n">
        <v>16</v>
      </c>
      <c r="G60" s="5">
        <f>E60*F60</f>
        <v/>
      </c>
      <c r="H60" s="3" t="n"/>
      <c r="I60" s="3" t="inlineStr"/>
      <c r="J60" s="3" t="inlineStr">
        <is>
          <t>Protegida, ancho libre ≥ 1.20 m</t>
        </is>
      </c>
    </row>
    <row r="61">
      <c r="A61" s="3" t="inlineStr">
        <is>
          <t>Piso 3</t>
        </is>
      </c>
      <c r="B61" s="4" t="n">
        <v>6</v>
      </c>
      <c r="C61" s="3" t="inlineStr">
        <is>
          <t>Ductos de instalaciones y ventilación</t>
        </is>
      </c>
      <c r="D61" s="3" t="inlineStr">
        <is>
          <t>SS.HH. y ductos</t>
        </is>
      </c>
      <c r="E61" s="3" t="n">
        <v>1</v>
      </c>
      <c r="F61" s="5" t="n">
        <v>6</v>
      </c>
      <c r="G61" s="5">
        <f>E61*F61</f>
        <v/>
      </c>
      <c r="H61" s="3" t="n"/>
      <c r="I61" s="3" t="inlineStr"/>
      <c r="J61" s="3" t="inlineStr">
        <is>
          <t>Incluye ducto de extracción</t>
        </is>
      </c>
    </row>
    <row r="62">
      <c r="A62" s="3" t="inlineStr">
        <is>
          <t>Piso 3</t>
        </is>
      </c>
      <c r="B62" s="4" t="n">
        <v>6</v>
      </c>
      <c r="C62" s="3" t="inlineStr">
        <is>
          <t>Ascensor accesible (cabina camilla)</t>
        </is>
      </c>
      <c r="D62" s="3" t="inlineStr">
        <is>
          <t>Escalera y ascensor</t>
        </is>
      </c>
      <c r="E62" s="3" t="n">
        <v>1</v>
      </c>
      <c r="F62" s="5" t="n">
        <v>7</v>
      </c>
      <c r="G62" s="5">
        <f>E62*F62</f>
        <v/>
      </c>
      <c r="H62" s="3" t="n"/>
      <c r="I62" s="3" t="inlineStr"/>
      <c r="J62" s="3" t="inlineStr">
        <is>
          <t>Acceso universal (RNE A.120)</t>
        </is>
      </c>
    </row>
    <row r="63">
      <c r="A63" s="3" t="inlineStr">
        <is>
          <t>Piso 3</t>
        </is>
      </c>
      <c r="B63" s="4" t="n">
        <v>6</v>
      </c>
      <c r="C63" s="3" t="inlineStr">
        <is>
          <t>SS.HH. hombres / mujeres / accesible</t>
        </is>
      </c>
      <c r="D63" s="3" t="inlineStr">
        <is>
          <t>SS.HH. y ductos</t>
        </is>
      </c>
      <c r="E63" s="3" t="n">
        <v>1</v>
      </c>
      <c r="F63" s="5" t="n">
        <v>20</v>
      </c>
      <c r="G63" s="5">
        <f>E63*F63</f>
        <v/>
      </c>
      <c r="H63" s="3" t="n"/>
      <c r="I63" s="3" t="inlineStr"/>
      <c r="J63" s="3" t="inlineStr">
        <is>
          <t>Según aforo del nivel</t>
        </is>
      </c>
    </row>
    <row r="64">
      <c r="A64" s="10" t="inlineStr">
        <is>
          <t>Piso 3</t>
        </is>
      </c>
      <c r="B64" s="11" t="n">
        <v>6</v>
      </c>
      <c r="C64" s="10" t="inlineStr">
        <is>
          <t>Subtotal área útil (techada)</t>
        </is>
      </c>
      <c r="D64" s="10" t="n"/>
      <c r="E64" s="10" t="n"/>
      <c r="F64" s="12" t="n"/>
      <c r="G64" s="12">
        <f>SUM(G57:G63)</f>
        <v/>
      </c>
      <c r="H64" s="10">
        <f>SUM(H57:H63)</f>
        <v/>
      </c>
      <c r="I64" s="10" t="n"/>
      <c r="J64" s="10" t="n"/>
    </row>
    <row r="65">
      <c r="A65" s="3" t="inlineStr">
        <is>
          <t>Piso 3</t>
        </is>
      </c>
      <c r="B65" s="4" t="n">
        <v>6</v>
      </c>
      <c r="C65" s="3" t="inlineStr">
        <is>
          <t>Circulación horizontal y hall (corredores, galería, vestíbulos)</t>
        </is>
      </c>
      <c r="D65" s="3" t="inlineStr">
        <is>
          <t>Circulación y hall</t>
        </is>
      </c>
      <c r="E65" s="3" t="n"/>
      <c r="F65" s="5" t="n"/>
      <c r="G65" s="5" t="n">
        <v>37.6</v>
      </c>
      <c r="H65" s="3" t="n"/>
      <c r="I65" s="3" t="n"/>
      <c r="J65" s="3" t="inlineStr">
        <is>
          <t>Sale de la planta dibujada</t>
        </is>
      </c>
    </row>
    <row r="66">
      <c r="A66" s="3" t="inlineStr">
        <is>
          <t>Piso 3</t>
        </is>
      </c>
      <c r="B66" s="4" t="n">
        <v>6</v>
      </c>
      <c r="C66" s="3" t="inlineStr">
        <is>
          <t>Muros, columnas y tolerancia</t>
        </is>
      </c>
      <c r="D66" s="3" t="inlineStr">
        <is>
          <t>Muros y tolerancia</t>
        </is>
      </c>
      <c r="E66" s="3" t="n"/>
      <c r="F66" s="5" t="n"/>
      <c r="G66" s="5">
        <f>MAX(0,ROUND(G67-G64-G65,1))</f>
        <v/>
      </c>
      <c r="H66" s="3" t="n"/>
      <c r="I66" s="3" t="n"/>
      <c r="J66" s="3" t="inlineStr">
        <is>
          <t>Las áreas se miden a ejes de muros</t>
        </is>
      </c>
    </row>
    <row r="67">
      <c r="A67" s="6" t="inlineStr">
        <is>
          <t>Piso 3</t>
        </is>
      </c>
      <c r="B67" s="13" t="n">
        <v>6</v>
      </c>
      <c r="C67" s="6" t="inlineStr">
        <is>
          <t>ÁREA BRUTA DEL NIVEL (huella)</t>
        </is>
      </c>
      <c r="D67" s="6" t="n"/>
      <c r="E67" s="6" t="n"/>
      <c r="F67" s="7" t="n"/>
      <c r="G67" s="7" t="n">
        <v>403.4</v>
      </c>
      <c r="H67" s="6" t="n"/>
      <c r="I67" s="6" t="n"/>
      <c r="J67" s="6" t="n"/>
    </row>
    <row r="69">
      <c r="A69" s="8" t="inlineStr">
        <is>
          <t>PISO 4 · Laboratorio 3, oficina y depósito de impresoras</t>
        </is>
      </c>
      <c r="B69" s="9" t="n">
        <v>9</v>
      </c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3" t="inlineStr">
        <is>
          <t>Piso 4</t>
        </is>
      </c>
      <c r="B70" s="4" t="n">
        <v>9</v>
      </c>
      <c r="C70" s="3" t="inlineStr">
        <is>
          <t>Laboratorio (40 al.)</t>
        </is>
      </c>
      <c r="D70" s="3" t="inlineStr">
        <is>
          <t>Laboratorios</t>
        </is>
      </c>
      <c r="E70" s="3" t="n">
        <v>1</v>
      </c>
      <c r="F70" s="5" t="n">
        <v>200</v>
      </c>
      <c r="G70" s="5">
        <f>E70*F70</f>
        <v/>
      </c>
      <c r="H70" s="3" t="n">
        <v>40</v>
      </c>
      <c r="I70" s="3" t="inlineStr">
        <is>
          <t>Natural + extracción mecánica</t>
        </is>
      </c>
      <c r="J70" s="3" t="inlineStr">
        <is>
          <t>5 m²/alumno; ventilación natural + extracción</t>
        </is>
      </c>
    </row>
    <row r="71">
      <c r="A71" s="3" t="inlineStr">
        <is>
          <t>Piso 4</t>
        </is>
      </c>
      <c r="B71" s="4" t="n">
        <v>9</v>
      </c>
      <c r="C71" s="3" t="inlineStr">
        <is>
          <t>Vestidor con duchas</t>
        </is>
      </c>
      <c r="D71" s="3" t="inlineStr">
        <is>
          <t>Vestidor y duchas</t>
        </is>
      </c>
      <c r="E71" s="3" t="n">
        <v>1</v>
      </c>
      <c r="F71" s="5" t="n">
        <v>30</v>
      </c>
      <c r="G71" s="5">
        <f>E71*F71</f>
        <v/>
      </c>
      <c r="H71" s="3" t="n"/>
      <c r="I71" s="3" t="inlineStr"/>
      <c r="J71" s="3" t="inlineStr">
        <is>
          <t>2 duchas (mínimo 1 por cada 60 al.)</t>
        </is>
      </c>
    </row>
    <row r="72">
      <c r="A72" s="3" t="inlineStr">
        <is>
          <t>Piso 4</t>
        </is>
      </c>
      <c r="B72" s="4" t="n">
        <v>9</v>
      </c>
      <c r="C72" s="3" t="inlineStr">
        <is>
          <t>Oficina de laboratorios</t>
        </is>
      </c>
      <c r="D72" s="3" t="inlineStr">
        <is>
          <t>Administración y docentes</t>
        </is>
      </c>
      <c r="E72" s="3" t="n">
        <v>1</v>
      </c>
      <c r="F72" s="5" t="n">
        <v>20</v>
      </c>
      <c r="G72" s="5">
        <f>E72*F72</f>
        <v/>
      </c>
      <c r="H72" s="3" t="n">
        <v>3</v>
      </c>
      <c r="I72" s="3" t="inlineStr"/>
      <c r="J72" s="3" t="inlineStr"/>
    </row>
    <row r="73">
      <c r="A73" s="3" t="inlineStr">
        <is>
          <t>Piso 4</t>
        </is>
      </c>
      <c r="B73" s="4" t="n">
        <v>9</v>
      </c>
      <c r="C73" s="3" t="inlineStr">
        <is>
          <t>Depósito con impresoras 2D/3D</t>
        </is>
      </c>
      <c r="D73" s="3" t="inlineStr">
        <is>
          <t>Depósitos</t>
        </is>
      </c>
      <c r="E73" s="3" t="n">
        <v>1</v>
      </c>
      <c r="F73" s="5" t="n">
        <v>25</v>
      </c>
      <c r="G73" s="5">
        <f>E73*F73</f>
        <v/>
      </c>
      <c r="H73" s="3" t="n"/>
      <c r="I73" s="3" t="inlineStr"/>
      <c r="J73" s="3" t="inlineStr">
        <is>
          <t>Ventilado, tomas dedicadas</t>
        </is>
      </c>
    </row>
    <row r="74">
      <c r="A74" s="3" t="inlineStr">
        <is>
          <t>Piso 4</t>
        </is>
      </c>
      <c r="B74" s="4" t="n">
        <v>9</v>
      </c>
      <c r="C74" s="3" t="inlineStr">
        <is>
          <t>Escalera de evacuación protegida</t>
        </is>
      </c>
      <c r="D74" s="3" t="inlineStr">
        <is>
          <t>Escalera y ascensor</t>
        </is>
      </c>
      <c r="E74" s="3" t="n">
        <v>2</v>
      </c>
      <c r="F74" s="5" t="n">
        <v>16</v>
      </c>
      <c r="G74" s="5">
        <f>E74*F74</f>
        <v/>
      </c>
      <c r="H74" s="3" t="n"/>
      <c r="I74" s="3" t="inlineStr"/>
      <c r="J74" s="3" t="inlineStr">
        <is>
          <t>Protegida, ancho libre ≥ 1.20 m</t>
        </is>
      </c>
    </row>
    <row r="75">
      <c r="A75" s="3" t="inlineStr">
        <is>
          <t>Piso 4</t>
        </is>
      </c>
      <c r="B75" s="4" t="n">
        <v>9</v>
      </c>
      <c r="C75" s="3" t="inlineStr">
        <is>
          <t>Ductos de instalaciones y ventilación</t>
        </is>
      </c>
      <c r="D75" s="3" t="inlineStr">
        <is>
          <t>SS.HH. y ductos</t>
        </is>
      </c>
      <c r="E75" s="3" t="n">
        <v>1</v>
      </c>
      <c r="F75" s="5" t="n">
        <v>6</v>
      </c>
      <c r="G75" s="5">
        <f>E75*F75</f>
        <v/>
      </c>
      <c r="H75" s="3" t="n"/>
      <c r="I75" s="3" t="inlineStr"/>
      <c r="J75" s="3" t="inlineStr">
        <is>
          <t>Incluye ducto de extracción</t>
        </is>
      </c>
    </row>
    <row r="76">
      <c r="A76" s="3" t="inlineStr">
        <is>
          <t>Piso 4</t>
        </is>
      </c>
      <c r="B76" s="4" t="n">
        <v>9</v>
      </c>
      <c r="C76" s="3" t="inlineStr">
        <is>
          <t>Ascensor accesible (cabina camilla)</t>
        </is>
      </c>
      <c r="D76" s="3" t="inlineStr">
        <is>
          <t>Escalera y ascensor</t>
        </is>
      </c>
      <c r="E76" s="3" t="n">
        <v>1</v>
      </c>
      <c r="F76" s="5" t="n">
        <v>7</v>
      </c>
      <c r="G76" s="5">
        <f>E76*F76</f>
        <v/>
      </c>
      <c r="H76" s="3" t="n"/>
      <c r="I76" s="3" t="inlineStr"/>
      <c r="J76" s="3" t="inlineStr">
        <is>
          <t>Acceso universal (RNE A.120)</t>
        </is>
      </c>
    </row>
    <row r="77">
      <c r="A77" s="3" t="inlineStr">
        <is>
          <t>Piso 4</t>
        </is>
      </c>
      <c r="B77" s="4" t="n">
        <v>9</v>
      </c>
      <c r="C77" s="3" t="inlineStr">
        <is>
          <t>SS.HH. hombres / mujeres / accesible</t>
        </is>
      </c>
      <c r="D77" s="3" t="inlineStr">
        <is>
          <t>SS.HH. y ductos</t>
        </is>
      </c>
      <c r="E77" s="3" t="n">
        <v>1</v>
      </c>
      <c r="F77" s="5" t="n">
        <v>20</v>
      </c>
      <c r="G77" s="5">
        <f>E77*F77</f>
        <v/>
      </c>
      <c r="H77" s="3" t="n"/>
      <c r="I77" s="3" t="inlineStr"/>
      <c r="J77" s="3" t="inlineStr">
        <is>
          <t>Según aforo del nivel</t>
        </is>
      </c>
    </row>
    <row r="78">
      <c r="A78" s="10" t="inlineStr">
        <is>
          <t>Piso 4</t>
        </is>
      </c>
      <c r="B78" s="11" t="n">
        <v>9</v>
      </c>
      <c r="C78" s="10" t="inlineStr">
        <is>
          <t>Subtotal área útil (techada)</t>
        </is>
      </c>
      <c r="D78" s="10" t="n"/>
      <c r="E78" s="10" t="n"/>
      <c r="F78" s="12" t="n"/>
      <c r="G78" s="12">
        <f>SUM(G70:G77)</f>
        <v/>
      </c>
      <c r="H78" s="10">
        <f>SUM(H70:H77)</f>
        <v/>
      </c>
      <c r="I78" s="10" t="n"/>
      <c r="J78" s="10" t="n"/>
    </row>
    <row r="79">
      <c r="A79" s="3" t="inlineStr">
        <is>
          <t>Piso 4</t>
        </is>
      </c>
      <c r="B79" s="4" t="n">
        <v>9</v>
      </c>
      <c r="C79" s="3" t="inlineStr">
        <is>
          <t>Circulación horizontal y hall (corredores, galería, vestíbulos)</t>
        </is>
      </c>
      <c r="D79" s="3" t="inlineStr">
        <is>
          <t>Circulación y hall</t>
        </is>
      </c>
      <c r="E79" s="3" t="n"/>
      <c r="F79" s="5" t="n"/>
      <c r="G79" s="5" t="n">
        <v>61.9</v>
      </c>
      <c r="H79" s="3" t="n"/>
      <c r="I79" s="3" t="n"/>
      <c r="J79" s="3" t="inlineStr">
        <is>
          <t>Sale de la planta dibujada</t>
        </is>
      </c>
    </row>
    <row r="80">
      <c r="A80" s="3" t="inlineStr">
        <is>
          <t>Piso 4</t>
        </is>
      </c>
      <c r="B80" s="4" t="n">
        <v>9</v>
      </c>
      <c r="C80" s="3" t="inlineStr">
        <is>
          <t>Muros, columnas y tolerancia</t>
        </is>
      </c>
      <c r="D80" s="3" t="inlineStr">
        <is>
          <t>Muros y tolerancia</t>
        </is>
      </c>
      <c r="E80" s="3" t="n"/>
      <c r="F80" s="5" t="n"/>
      <c r="G80" s="5">
        <f>MAX(0,ROUND(G81-G78-G79,1))</f>
        <v/>
      </c>
      <c r="H80" s="3" t="n"/>
      <c r="I80" s="3" t="n"/>
      <c r="J80" s="3" t="inlineStr">
        <is>
          <t>Las áreas se miden a ejes de muros</t>
        </is>
      </c>
    </row>
    <row r="81">
      <c r="A81" s="6" t="inlineStr">
        <is>
          <t>Piso 4</t>
        </is>
      </c>
      <c r="B81" s="13" t="n">
        <v>9</v>
      </c>
      <c r="C81" s="6" t="inlineStr">
        <is>
          <t>ÁREA BRUTA DEL NIVEL (huella)</t>
        </is>
      </c>
      <c r="D81" s="6" t="n"/>
      <c r="E81" s="6" t="n"/>
      <c r="F81" s="7" t="n"/>
      <c r="G81" s="7" t="n">
        <v>403.4</v>
      </c>
      <c r="H81" s="6" t="n"/>
      <c r="I81" s="6" t="n"/>
      <c r="J81" s="6" t="n"/>
    </row>
    <row r="83">
      <c r="A83" s="8" t="inlineStr">
        <is>
          <t>PISO 5 · Aula taller con oficina y depósito</t>
        </is>
      </c>
      <c r="B83" s="9" t="n">
        <v>12</v>
      </c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3" t="inlineStr">
        <is>
          <t>Piso 5</t>
        </is>
      </c>
      <c r="B84" s="4" t="n">
        <v>12</v>
      </c>
      <c r="C84" s="3" t="inlineStr">
        <is>
          <t>Aula taller (40 al.)</t>
        </is>
      </c>
      <c r="D84" s="3" t="inlineStr">
        <is>
          <t>Aula taller</t>
        </is>
      </c>
      <c r="E84" s="3" t="n">
        <v>1</v>
      </c>
      <c r="F84" s="5" t="n">
        <v>200</v>
      </c>
      <c r="G84" s="5">
        <f>E84*F84</f>
        <v/>
      </c>
      <c r="H84" s="3" t="n">
        <v>40</v>
      </c>
      <c r="I84" s="3" t="inlineStr">
        <is>
          <t>Natural</t>
        </is>
      </c>
      <c r="J84" s="3" t="inlineStr">
        <is>
          <t>5 m²/alumno; 5 mesas de 1.2 x 1.5 x 1.8 m y ecran</t>
        </is>
      </c>
    </row>
    <row r="85">
      <c r="A85" s="3" t="inlineStr">
        <is>
          <t>Piso 5</t>
        </is>
      </c>
      <c r="B85" s="4" t="n">
        <v>12</v>
      </c>
      <c r="C85" s="3" t="inlineStr">
        <is>
          <t>Oficina del taller</t>
        </is>
      </c>
      <c r="D85" s="3" t="inlineStr">
        <is>
          <t>Aula taller</t>
        </is>
      </c>
      <c r="E85" s="3" t="n">
        <v>1</v>
      </c>
      <c r="F85" s="5" t="n">
        <v>15</v>
      </c>
      <c r="G85" s="5">
        <f>E85*F85</f>
        <v/>
      </c>
      <c r="H85" s="3" t="n">
        <v>2</v>
      </c>
      <c r="I85" s="3" t="inlineStr"/>
      <c r="J85" s="3" t="inlineStr">
        <is>
          <t>Junto al aula taller</t>
        </is>
      </c>
    </row>
    <row r="86">
      <c r="A86" s="3" t="inlineStr">
        <is>
          <t>Piso 5</t>
        </is>
      </c>
      <c r="B86" s="4" t="n">
        <v>12</v>
      </c>
      <c r="C86" s="3" t="inlineStr">
        <is>
          <t>Depósito del taller</t>
        </is>
      </c>
      <c r="D86" s="3" t="inlineStr">
        <is>
          <t>Aula taller</t>
        </is>
      </c>
      <c r="E86" s="3" t="n">
        <v>1</v>
      </c>
      <c r="F86" s="5" t="n">
        <v>25</v>
      </c>
      <c r="G86" s="5">
        <f>E86*F86</f>
        <v/>
      </c>
      <c r="H86" s="3" t="n"/>
      <c r="I86" s="3" t="inlineStr"/>
      <c r="J86" s="3" t="inlineStr">
        <is>
          <t>Materiales, maquetas e impresoras 2D/3D</t>
        </is>
      </c>
    </row>
    <row r="87">
      <c r="A87" s="3" t="inlineStr">
        <is>
          <t>Piso 5</t>
        </is>
      </c>
      <c r="B87" s="4" t="n">
        <v>12</v>
      </c>
      <c r="C87" s="3" t="inlineStr">
        <is>
          <t>Sala de docentes</t>
        </is>
      </c>
      <c r="D87" s="3" t="inlineStr">
        <is>
          <t>Administración y docentes</t>
        </is>
      </c>
      <c r="E87" s="3" t="n">
        <v>1</v>
      </c>
      <c r="F87" s="5" t="n">
        <v>30</v>
      </c>
      <c r="G87" s="5">
        <f>E87*F87</f>
        <v/>
      </c>
      <c r="H87" s="3" t="n">
        <v>8</v>
      </c>
      <c r="I87" s="3" t="inlineStr"/>
      <c r="J87" s="3" t="inlineStr"/>
    </row>
    <row r="88">
      <c r="A88" s="3" t="inlineStr">
        <is>
          <t>Piso 5</t>
        </is>
      </c>
      <c r="B88" s="4" t="n">
        <v>12</v>
      </c>
      <c r="C88" s="3" t="inlineStr">
        <is>
          <t>Escalera de evacuación protegida</t>
        </is>
      </c>
      <c r="D88" s="3" t="inlineStr">
        <is>
          <t>Escalera y ascensor</t>
        </is>
      </c>
      <c r="E88" s="3" t="n">
        <v>2</v>
      </c>
      <c r="F88" s="5" t="n">
        <v>16</v>
      </c>
      <c r="G88" s="5">
        <f>E88*F88</f>
        <v/>
      </c>
      <c r="H88" s="3" t="n"/>
      <c r="I88" s="3" t="inlineStr"/>
      <c r="J88" s="3" t="inlineStr">
        <is>
          <t>Protegida, ancho libre ≥ 1.20 m</t>
        </is>
      </c>
    </row>
    <row r="89">
      <c r="A89" s="3" t="inlineStr">
        <is>
          <t>Piso 5</t>
        </is>
      </c>
      <c r="B89" s="4" t="n">
        <v>12</v>
      </c>
      <c r="C89" s="3" t="inlineStr">
        <is>
          <t>Ductos de instalaciones y ventilación</t>
        </is>
      </c>
      <c r="D89" s="3" t="inlineStr">
        <is>
          <t>SS.HH. y ductos</t>
        </is>
      </c>
      <c r="E89" s="3" t="n">
        <v>1</v>
      </c>
      <c r="F89" s="5" t="n">
        <v>6</v>
      </c>
      <c r="G89" s="5">
        <f>E89*F89</f>
        <v/>
      </c>
      <c r="H89" s="3" t="n"/>
      <c r="I89" s="3" t="inlineStr"/>
      <c r="J89" s="3" t="inlineStr">
        <is>
          <t>Incluye ducto de extracción</t>
        </is>
      </c>
    </row>
    <row r="90">
      <c r="A90" s="3" t="inlineStr">
        <is>
          <t>Piso 5</t>
        </is>
      </c>
      <c r="B90" s="4" t="n">
        <v>12</v>
      </c>
      <c r="C90" s="3" t="inlineStr">
        <is>
          <t>Ascensor accesible (cabina camilla)</t>
        </is>
      </c>
      <c r="D90" s="3" t="inlineStr">
        <is>
          <t>Escalera y ascensor</t>
        </is>
      </c>
      <c r="E90" s="3" t="n">
        <v>1</v>
      </c>
      <c r="F90" s="5" t="n">
        <v>7</v>
      </c>
      <c r="G90" s="5">
        <f>E90*F90</f>
        <v/>
      </c>
      <c r="H90" s="3" t="n"/>
      <c r="I90" s="3" t="inlineStr"/>
      <c r="J90" s="3" t="inlineStr">
        <is>
          <t>Acceso universal (RNE A.120)</t>
        </is>
      </c>
    </row>
    <row r="91">
      <c r="A91" s="3" t="inlineStr">
        <is>
          <t>Piso 5</t>
        </is>
      </c>
      <c r="B91" s="4" t="n">
        <v>12</v>
      </c>
      <c r="C91" s="3" t="inlineStr">
        <is>
          <t>SS.HH. hombres / mujeres / accesible</t>
        </is>
      </c>
      <c r="D91" s="3" t="inlineStr">
        <is>
          <t>SS.HH. y ductos</t>
        </is>
      </c>
      <c r="E91" s="3" t="n">
        <v>1</v>
      </c>
      <c r="F91" s="5" t="n">
        <v>20</v>
      </c>
      <c r="G91" s="5">
        <f>E91*F91</f>
        <v/>
      </c>
      <c r="H91" s="3" t="n"/>
      <c r="I91" s="3" t="inlineStr"/>
      <c r="J91" s="3" t="inlineStr">
        <is>
          <t>Según aforo del nivel</t>
        </is>
      </c>
    </row>
    <row r="92">
      <c r="A92" s="10" t="inlineStr">
        <is>
          <t>Piso 5</t>
        </is>
      </c>
      <c r="B92" s="11" t="n">
        <v>12</v>
      </c>
      <c r="C92" s="10" t="inlineStr">
        <is>
          <t>Subtotal área útil (techada)</t>
        </is>
      </c>
      <c r="D92" s="10" t="n"/>
      <c r="E92" s="10" t="n"/>
      <c r="F92" s="12" t="n"/>
      <c r="G92" s="12">
        <f>SUM(G84:G91)</f>
        <v/>
      </c>
      <c r="H92" s="10">
        <f>SUM(H84:H91)</f>
        <v/>
      </c>
      <c r="I92" s="10" t="n"/>
      <c r="J92" s="10" t="n"/>
    </row>
    <row r="93">
      <c r="A93" s="3" t="inlineStr">
        <is>
          <t>Piso 5</t>
        </is>
      </c>
      <c r="B93" s="4" t="n">
        <v>12</v>
      </c>
      <c r="C93" s="3" t="inlineStr">
        <is>
          <t>Circulación horizontal y hall (corredores, galería, vestíbulos)</t>
        </is>
      </c>
      <c r="D93" s="3" t="inlineStr">
        <is>
          <t>Circulación y hall</t>
        </is>
      </c>
      <c r="E93" s="3" t="n"/>
      <c r="F93" s="5" t="n"/>
      <c r="G93" s="5" t="n">
        <v>66.7</v>
      </c>
      <c r="H93" s="3" t="n"/>
      <c r="I93" s="3" t="n"/>
      <c r="J93" s="3" t="inlineStr">
        <is>
          <t>Sale de la planta dibujada</t>
        </is>
      </c>
    </row>
    <row r="94">
      <c r="A94" s="3" t="inlineStr">
        <is>
          <t>Piso 5</t>
        </is>
      </c>
      <c r="B94" s="4" t="n">
        <v>12</v>
      </c>
      <c r="C94" s="3" t="inlineStr">
        <is>
          <t>Muros, columnas y tolerancia</t>
        </is>
      </c>
      <c r="D94" s="3" t="inlineStr">
        <is>
          <t>Muros y tolerancia</t>
        </is>
      </c>
      <c r="E94" s="3" t="n"/>
      <c r="F94" s="5" t="n"/>
      <c r="G94" s="5">
        <f>MAX(0,ROUND(G95-G92-G93,1))</f>
        <v/>
      </c>
      <c r="H94" s="3" t="n"/>
      <c r="I94" s="3" t="n"/>
      <c r="J94" s="3" t="inlineStr">
        <is>
          <t>Las áreas se miden a ejes de muros</t>
        </is>
      </c>
    </row>
    <row r="95">
      <c r="A95" s="6" t="inlineStr">
        <is>
          <t>Piso 5</t>
        </is>
      </c>
      <c r="B95" s="13" t="n">
        <v>12</v>
      </c>
      <c r="C95" s="6" t="inlineStr">
        <is>
          <t>ÁREA BRUTA DEL NIVEL (huella)</t>
        </is>
      </c>
      <c r="D95" s="6" t="n"/>
      <c r="E95" s="6" t="n"/>
      <c r="F95" s="7" t="n"/>
      <c r="G95" s="7" t="n">
        <v>403.4</v>
      </c>
      <c r="H95" s="6" t="n"/>
      <c r="I95" s="6" t="n"/>
      <c r="J95" s="6" t="n"/>
    </row>
    <row r="97">
      <c r="A97" s="8" t="inlineStr">
        <is>
          <t>PISO 6 · 3 aulas teóricas y sala de reuniones</t>
        </is>
      </c>
      <c r="B97" s="9" t="n">
        <v>15</v>
      </c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3" t="inlineStr">
        <is>
          <t>Piso 6</t>
        </is>
      </c>
      <c r="B98" s="4" t="n">
        <v>15</v>
      </c>
      <c r="C98" s="3" t="inlineStr">
        <is>
          <t>Aula teórica (40 al.)</t>
        </is>
      </c>
      <c r="D98" s="3" t="inlineStr">
        <is>
          <t>Aulas</t>
        </is>
      </c>
      <c r="E98" s="3" t="n">
        <v>3</v>
      </c>
      <c r="F98" s="5" t="n">
        <v>60</v>
      </c>
      <c r="G98" s="5">
        <f>E98*F98</f>
        <v/>
      </c>
      <c r="H98" s="3" t="n">
        <v>120</v>
      </c>
      <c r="I98" s="3" t="inlineStr">
        <is>
          <t>Natural</t>
        </is>
      </c>
      <c r="J98" s="3" t="inlineStr">
        <is>
          <t>1.5 m²/alumno</t>
        </is>
      </c>
    </row>
    <row r="99">
      <c r="A99" s="3" t="inlineStr">
        <is>
          <t>Piso 6</t>
        </is>
      </c>
      <c r="B99" s="4" t="n">
        <v>15</v>
      </c>
      <c r="C99" s="3" t="inlineStr">
        <is>
          <t>Sala de reuniones docentes</t>
        </is>
      </c>
      <c r="D99" s="3" t="inlineStr">
        <is>
          <t>Administración y docentes</t>
        </is>
      </c>
      <c r="E99" s="3" t="n">
        <v>1</v>
      </c>
      <c r="F99" s="5" t="n">
        <v>30</v>
      </c>
      <c r="G99" s="5">
        <f>E99*F99</f>
        <v/>
      </c>
      <c r="H99" s="3" t="n">
        <v>12</v>
      </c>
      <c r="I99" s="3" t="inlineStr"/>
      <c r="J99" s="3" t="inlineStr"/>
    </row>
    <row r="100">
      <c r="A100" s="3" t="inlineStr">
        <is>
          <t>Piso 6</t>
        </is>
      </c>
      <c r="B100" s="4" t="n">
        <v>15</v>
      </c>
      <c r="C100" s="3" t="inlineStr">
        <is>
          <t>Escalera de evacuación protegida</t>
        </is>
      </c>
      <c r="D100" s="3" t="inlineStr">
        <is>
          <t>Escalera y ascensor</t>
        </is>
      </c>
      <c r="E100" s="3" t="n">
        <v>2</v>
      </c>
      <c r="F100" s="5" t="n">
        <v>16</v>
      </c>
      <c r="G100" s="5">
        <f>E100*F100</f>
        <v/>
      </c>
      <c r="H100" s="3" t="n"/>
      <c r="I100" s="3" t="inlineStr"/>
      <c r="J100" s="3" t="inlineStr">
        <is>
          <t>Protegida, ancho libre ≥ 1.20 m</t>
        </is>
      </c>
    </row>
    <row r="101">
      <c r="A101" s="3" t="inlineStr">
        <is>
          <t>Piso 6</t>
        </is>
      </c>
      <c r="B101" s="4" t="n">
        <v>15</v>
      </c>
      <c r="C101" s="3" t="inlineStr">
        <is>
          <t>Ductos de instalaciones y ventilación</t>
        </is>
      </c>
      <c r="D101" s="3" t="inlineStr">
        <is>
          <t>SS.HH. y ductos</t>
        </is>
      </c>
      <c r="E101" s="3" t="n">
        <v>1</v>
      </c>
      <c r="F101" s="5" t="n">
        <v>6</v>
      </c>
      <c r="G101" s="5">
        <f>E101*F101</f>
        <v/>
      </c>
      <c r="H101" s="3" t="n"/>
      <c r="I101" s="3" t="inlineStr"/>
      <c r="J101" s="3" t="inlineStr">
        <is>
          <t>Incluye ducto de extracción</t>
        </is>
      </c>
    </row>
    <row r="102">
      <c r="A102" s="3" t="inlineStr">
        <is>
          <t>Piso 6</t>
        </is>
      </c>
      <c r="B102" s="4" t="n">
        <v>15</v>
      </c>
      <c r="C102" s="3" t="inlineStr">
        <is>
          <t>Ascensor accesible (cabina camilla)</t>
        </is>
      </c>
      <c r="D102" s="3" t="inlineStr">
        <is>
          <t>Escalera y ascensor</t>
        </is>
      </c>
      <c r="E102" s="3" t="n">
        <v>1</v>
      </c>
      <c r="F102" s="5" t="n">
        <v>7</v>
      </c>
      <c r="G102" s="5">
        <f>E102*F102</f>
        <v/>
      </c>
      <c r="H102" s="3" t="n"/>
      <c r="I102" s="3" t="inlineStr"/>
      <c r="J102" s="3" t="inlineStr">
        <is>
          <t>Acceso universal (RNE A.120)</t>
        </is>
      </c>
    </row>
    <row r="103">
      <c r="A103" s="3" t="inlineStr">
        <is>
          <t>Piso 6</t>
        </is>
      </c>
      <c r="B103" s="4" t="n">
        <v>15</v>
      </c>
      <c r="C103" s="3" t="inlineStr">
        <is>
          <t>SS.HH. hombres / mujeres / accesible</t>
        </is>
      </c>
      <c r="D103" s="3" t="inlineStr">
        <is>
          <t>SS.HH. y ductos</t>
        </is>
      </c>
      <c r="E103" s="3" t="n">
        <v>1</v>
      </c>
      <c r="F103" s="5" t="n">
        <v>20</v>
      </c>
      <c r="G103" s="5">
        <f>E103*F103</f>
        <v/>
      </c>
      <c r="H103" s="3" t="n"/>
      <c r="I103" s="3" t="inlineStr"/>
      <c r="J103" s="3" t="inlineStr">
        <is>
          <t>Según aforo del nivel</t>
        </is>
      </c>
    </row>
    <row r="104">
      <c r="A104" s="10" t="inlineStr">
        <is>
          <t>Piso 6</t>
        </is>
      </c>
      <c r="B104" s="11" t="n">
        <v>15</v>
      </c>
      <c r="C104" s="10" t="inlineStr">
        <is>
          <t>Subtotal área útil (techada)</t>
        </is>
      </c>
      <c r="D104" s="10" t="n"/>
      <c r="E104" s="10" t="n"/>
      <c r="F104" s="12" t="n"/>
      <c r="G104" s="12">
        <f>SUM(G98:G103)</f>
        <v/>
      </c>
      <c r="H104" s="10">
        <f>SUM(H98:H103)</f>
        <v/>
      </c>
      <c r="I104" s="10" t="n"/>
      <c r="J104" s="10" t="n"/>
    </row>
    <row r="105">
      <c r="A105" s="3" t="inlineStr">
        <is>
          <t>Piso 6</t>
        </is>
      </c>
      <c r="B105" s="4" t="n">
        <v>15</v>
      </c>
      <c r="C105" s="3" t="inlineStr">
        <is>
          <t>Circulación horizontal y hall (corredores, galería, vestíbulos)</t>
        </is>
      </c>
      <c r="D105" s="3" t="inlineStr">
        <is>
          <t>Circulación y hall</t>
        </is>
      </c>
      <c r="E105" s="3" t="n"/>
      <c r="F105" s="5" t="n"/>
      <c r="G105" s="5" t="n">
        <v>127.9</v>
      </c>
      <c r="H105" s="3" t="n"/>
      <c r="I105" s="3" t="n"/>
      <c r="J105" s="3" t="inlineStr">
        <is>
          <t>Sale de la planta dibujada</t>
        </is>
      </c>
    </row>
    <row r="106">
      <c r="A106" s="3" t="inlineStr">
        <is>
          <t>Piso 6</t>
        </is>
      </c>
      <c r="B106" s="4" t="n">
        <v>15</v>
      </c>
      <c r="C106" s="3" t="inlineStr">
        <is>
          <t>Muros, columnas y tolerancia</t>
        </is>
      </c>
      <c r="D106" s="3" t="inlineStr">
        <is>
          <t>Muros y tolerancia</t>
        </is>
      </c>
      <c r="E106" s="3" t="n"/>
      <c r="F106" s="5" t="n"/>
      <c r="G106" s="5">
        <f>MAX(0,ROUND(G107-G104-G105,1))</f>
        <v/>
      </c>
      <c r="H106" s="3" t="n"/>
      <c r="I106" s="3" t="n"/>
      <c r="J106" s="3" t="inlineStr">
        <is>
          <t>Las áreas se miden a ejes de muros</t>
        </is>
      </c>
    </row>
    <row r="107">
      <c r="A107" s="6" t="inlineStr">
        <is>
          <t>Piso 6</t>
        </is>
      </c>
      <c r="B107" s="13" t="n">
        <v>15</v>
      </c>
      <c r="C107" s="6" t="inlineStr">
        <is>
          <t>ÁREA BRUTA DEL NIVEL (huella)</t>
        </is>
      </c>
      <c r="D107" s="6" t="n"/>
      <c r="E107" s="6" t="n"/>
      <c r="F107" s="7" t="n"/>
      <c r="G107" s="7" t="n">
        <v>403.4</v>
      </c>
      <c r="H107" s="6" t="n"/>
      <c r="I107" s="6" t="n"/>
      <c r="J107" s="6" t="n"/>
    </row>
    <row r="109">
      <c r="A109" s="8" t="inlineStr">
        <is>
          <t>PISO 7 · Aula magna de 60 personas, foyer y terraza</t>
        </is>
      </c>
      <c r="B109" s="9" t="n">
        <v>18</v>
      </c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3" t="inlineStr">
        <is>
          <t>Piso 7</t>
        </is>
      </c>
      <c r="B110" s="4" t="n">
        <v>18</v>
      </c>
      <c r="C110" s="3" t="inlineStr">
        <is>
          <t>Camerino</t>
        </is>
      </c>
      <c r="D110" s="3" t="inlineStr">
        <is>
          <t>Aula magna</t>
        </is>
      </c>
      <c r="E110" s="3" t="n">
        <v>1</v>
      </c>
      <c r="F110" s="5" t="n">
        <v>15</v>
      </c>
      <c r="G110" s="5">
        <f>E110*F110</f>
        <v/>
      </c>
      <c r="H110" s="3" t="n"/>
      <c r="I110" s="3" t="inlineStr"/>
      <c r="J110" s="3" t="inlineStr"/>
    </row>
    <row r="111">
      <c r="A111" s="3" t="inlineStr">
        <is>
          <t>Piso 7</t>
        </is>
      </c>
      <c r="B111" s="4" t="n">
        <v>18</v>
      </c>
      <c r="C111" s="3" t="inlineStr">
        <is>
          <t>Aula magna (60 personas)</t>
        </is>
      </c>
      <c r="D111" s="3" t="inlineStr">
        <is>
          <t>Aula magna</t>
        </is>
      </c>
      <c r="E111" s="3" t="n">
        <v>1</v>
      </c>
      <c r="F111" s="5" t="n">
        <v>90</v>
      </c>
      <c r="G111" s="5">
        <f>E111*F111</f>
        <v/>
      </c>
      <c r="H111" s="3" t="n">
        <v>60</v>
      </c>
      <c r="I111" s="3" t="inlineStr">
        <is>
          <t>Natural + extracción mecánica</t>
        </is>
      </c>
      <c r="J111" s="3" t="inlineStr">
        <is>
          <t>Ventilación natural + extracción</t>
        </is>
      </c>
    </row>
    <row r="112">
      <c r="A112" s="3" t="inlineStr">
        <is>
          <t>Piso 7</t>
        </is>
      </c>
      <c r="B112" s="4" t="n">
        <v>18</v>
      </c>
      <c r="C112" s="3" t="inlineStr">
        <is>
          <t>Escenario y cabina</t>
        </is>
      </c>
      <c r="D112" s="3" t="inlineStr">
        <is>
          <t>Aula magna</t>
        </is>
      </c>
      <c r="E112" s="3" t="n">
        <v>1</v>
      </c>
      <c r="F112" s="5" t="n">
        <v>25</v>
      </c>
      <c r="G112" s="5">
        <f>E112*F112</f>
        <v/>
      </c>
      <c r="H112" s="3" t="n"/>
      <c r="I112" s="3" t="inlineStr"/>
      <c r="J112" s="3" t="inlineStr"/>
    </row>
    <row r="113">
      <c r="A113" s="3" t="inlineStr">
        <is>
          <t>Piso 7</t>
        </is>
      </c>
      <c r="B113" s="4" t="n">
        <v>18</v>
      </c>
      <c r="C113" s="3" t="inlineStr">
        <is>
          <t>Depósito de mobiliario</t>
        </is>
      </c>
      <c r="D113" s="3" t="inlineStr">
        <is>
          <t>Depósitos</t>
        </is>
      </c>
      <c r="E113" s="3" t="n">
        <v>1</v>
      </c>
      <c r="F113" s="5" t="n">
        <v>15</v>
      </c>
      <c r="G113" s="5">
        <f>E113*F113</f>
        <v/>
      </c>
      <c r="H113" s="3" t="n"/>
      <c r="I113" s="3" t="inlineStr"/>
      <c r="J113" s="3" t="inlineStr"/>
    </row>
    <row r="114">
      <c r="A114" s="3" t="inlineStr">
        <is>
          <t>Piso 7</t>
        </is>
      </c>
      <c r="B114" s="4" t="n">
        <v>18</v>
      </c>
      <c r="C114" s="3" t="inlineStr">
        <is>
          <t>Escalera de evacuación protegida</t>
        </is>
      </c>
      <c r="D114" s="3" t="inlineStr">
        <is>
          <t>Escalera y ascensor</t>
        </is>
      </c>
      <c r="E114" s="3" t="n">
        <v>2</v>
      </c>
      <c r="F114" s="5" t="n">
        <v>16</v>
      </c>
      <c r="G114" s="5">
        <f>E114*F114</f>
        <v/>
      </c>
      <c r="H114" s="3" t="n"/>
      <c r="I114" s="3" t="inlineStr"/>
      <c r="J114" s="3" t="inlineStr">
        <is>
          <t>Protegida, ancho libre ≥ 1.20 m</t>
        </is>
      </c>
    </row>
    <row r="115">
      <c r="A115" s="3" t="inlineStr">
        <is>
          <t>Piso 7</t>
        </is>
      </c>
      <c r="B115" s="4" t="n">
        <v>18</v>
      </c>
      <c r="C115" s="3" t="inlineStr">
        <is>
          <t>Ductos de instalaciones y ventilación</t>
        </is>
      </c>
      <c r="D115" s="3" t="inlineStr">
        <is>
          <t>SS.HH. y ductos</t>
        </is>
      </c>
      <c r="E115" s="3" t="n">
        <v>1</v>
      </c>
      <c r="F115" s="5" t="n">
        <v>6</v>
      </c>
      <c r="G115" s="5">
        <f>E115*F115</f>
        <v/>
      </c>
      <c r="H115" s="3" t="n"/>
      <c r="I115" s="3" t="inlineStr"/>
      <c r="J115" s="3" t="inlineStr">
        <is>
          <t>Incluye ducto de extracción</t>
        </is>
      </c>
    </row>
    <row r="116">
      <c r="A116" s="3" t="inlineStr">
        <is>
          <t>Piso 7</t>
        </is>
      </c>
      <c r="B116" s="4" t="n">
        <v>18</v>
      </c>
      <c r="C116" s="3" t="inlineStr">
        <is>
          <t>Ascensor accesible (cabina camilla)</t>
        </is>
      </c>
      <c r="D116" s="3" t="inlineStr">
        <is>
          <t>Escalera y ascensor</t>
        </is>
      </c>
      <c r="E116" s="3" t="n">
        <v>1</v>
      </c>
      <c r="F116" s="5" t="n">
        <v>7</v>
      </c>
      <c r="G116" s="5">
        <f>E116*F116</f>
        <v/>
      </c>
      <c r="H116" s="3" t="n"/>
      <c r="I116" s="3" t="inlineStr"/>
      <c r="J116" s="3" t="inlineStr">
        <is>
          <t>Acceso universal (RNE A.120)</t>
        </is>
      </c>
    </row>
    <row r="117">
      <c r="A117" s="3" t="inlineStr">
        <is>
          <t>Piso 7</t>
        </is>
      </c>
      <c r="B117" s="4" t="n">
        <v>18</v>
      </c>
      <c r="C117" s="3" t="inlineStr">
        <is>
          <t>SS.HH. hombres / mujeres / accesible</t>
        </is>
      </c>
      <c r="D117" s="3" t="inlineStr">
        <is>
          <t>SS.HH. y ductos</t>
        </is>
      </c>
      <c r="E117" s="3" t="n">
        <v>1</v>
      </c>
      <c r="F117" s="5" t="n">
        <v>20</v>
      </c>
      <c r="G117" s="5">
        <f>E117*F117</f>
        <v/>
      </c>
      <c r="H117" s="3" t="n"/>
      <c r="I117" s="3" t="inlineStr"/>
      <c r="J117" s="3" t="inlineStr">
        <is>
          <t>Según aforo del nivel</t>
        </is>
      </c>
    </row>
    <row r="118">
      <c r="A118" s="3" t="inlineStr">
        <is>
          <t>Piso 7</t>
        </is>
      </c>
      <c r="B118" s="4" t="n">
        <v>18</v>
      </c>
      <c r="C118" s="3" t="inlineStr">
        <is>
          <t>Foyer</t>
        </is>
      </c>
      <c r="D118" s="3" t="inlineStr">
        <is>
          <t>Circulación y hall</t>
        </is>
      </c>
      <c r="E118" s="3" t="n">
        <v>1</v>
      </c>
      <c r="F118" s="5" t="n">
        <v>40</v>
      </c>
      <c r="G118" s="5">
        <f>E118*F118</f>
        <v/>
      </c>
      <c r="H118" s="3" t="n"/>
      <c r="I118" s="3" t="inlineStr"/>
      <c r="J118" s="3" t="inlineStr"/>
    </row>
    <row r="119">
      <c r="A119" s="10" t="inlineStr">
        <is>
          <t>Piso 7</t>
        </is>
      </c>
      <c r="B119" s="11" t="n">
        <v>18</v>
      </c>
      <c r="C119" s="10" t="inlineStr">
        <is>
          <t>Subtotal área útil (techada)</t>
        </is>
      </c>
      <c r="D119" s="10" t="n"/>
      <c r="E119" s="10" t="n"/>
      <c r="F119" s="12" t="n"/>
      <c r="G119" s="12">
        <f>SUM(G110:G118)</f>
        <v/>
      </c>
      <c r="H119" s="10">
        <f>SUM(H110:H118)</f>
        <v/>
      </c>
      <c r="I119" s="10" t="n"/>
      <c r="J119" s="10" t="n"/>
    </row>
    <row r="120">
      <c r="A120" s="3" t="inlineStr">
        <is>
          <t>Piso 7</t>
        </is>
      </c>
      <c r="B120" s="4" t="n">
        <v>18</v>
      </c>
      <c r="C120" s="3" t="inlineStr">
        <is>
          <t>Circulación horizontal y hall (corredores, galería, vestíbulos)</t>
        </is>
      </c>
      <c r="D120" s="3" t="inlineStr">
        <is>
          <t>Circulación y hall</t>
        </is>
      </c>
      <c r="E120" s="3" t="n"/>
      <c r="F120" s="5" t="n"/>
      <c r="G120" s="5" t="n">
        <v>52.6</v>
      </c>
      <c r="H120" s="3" t="n"/>
      <c r="I120" s="3" t="n"/>
      <c r="J120" s="3" t="inlineStr">
        <is>
          <t>Sale de la planta dibujada</t>
        </is>
      </c>
    </row>
    <row r="121">
      <c r="A121" s="3" t="inlineStr">
        <is>
          <t>Piso 7</t>
        </is>
      </c>
      <c r="B121" s="4" t="n">
        <v>18</v>
      </c>
      <c r="C121" s="3" t="inlineStr">
        <is>
          <t>Terraza (área libre, no techada)</t>
        </is>
      </c>
      <c r="D121" s="3" t="inlineStr">
        <is>
          <t>Área libre</t>
        </is>
      </c>
      <c r="E121" s="3" t="n"/>
      <c r="F121" s="5" t="n"/>
      <c r="G121" s="5" t="n">
        <v>100</v>
      </c>
      <c r="H121" s="3" t="n"/>
      <c r="I121" s="3" t="n"/>
      <c r="J121" s="3" t="inlineStr">
        <is>
          <t>Área no techada</t>
        </is>
      </c>
    </row>
    <row r="122">
      <c r="A122" s="3" t="inlineStr">
        <is>
          <t>Piso 7</t>
        </is>
      </c>
      <c r="B122" s="4" t="n">
        <v>18</v>
      </c>
      <c r="C122" s="3" t="inlineStr">
        <is>
          <t>Muros, columnas y tolerancia</t>
        </is>
      </c>
      <c r="D122" s="3" t="inlineStr">
        <is>
          <t>Muros y tolerancia</t>
        </is>
      </c>
      <c r="E122" s="3" t="n"/>
      <c r="F122" s="5" t="n"/>
      <c r="G122" s="5">
        <f>MAX(0,ROUND(G123-G119-G120-G121,1))</f>
        <v/>
      </c>
      <c r="H122" s="3" t="n"/>
      <c r="I122" s="3" t="n"/>
      <c r="J122" s="3" t="inlineStr">
        <is>
          <t>Las áreas se miden a ejes de muros</t>
        </is>
      </c>
    </row>
    <row r="123">
      <c r="A123" s="6" t="inlineStr">
        <is>
          <t>Piso 7</t>
        </is>
      </c>
      <c r="B123" s="13" t="n">
        <v>18</v>
      </c>
      <c r="C123" s="6" t="inlineStr">
        <is>
          <t>ÁREA BRUTA DEL NIVEL (huella)</t>
        </is>
      </c>
      <c r="D123" s="6" t="n"/>
      <c r="E123" s="6" t="n"/>
      <c r="F123" s="7" t="n"/>
      <c r="G123" s="7" t="n">
        <v>403.4</v>
      </c>
      <c r="H123" s="6" t="n"/>
      <c r="I123" s="6" t="n"/>
      <c r="J123" s="6" t="n"/>
    </row>
    <row r="125">
      <c r="A125" s="8" t="inlineStr">
        <is>
          <t>AZOTEA TÉCNICA · Tanque elevado y equipos de extracción</t>
        </is>
      </c>
      <c r="B125" s="9" t="n">
        <v>21</v>
      </c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3" t="inlineStr">
        <is>
          <t>Azotea técnica</t>
        </is>
      </c>
      <c r="B126" s="4" t="n">
        <v>21</v>
      </c>
      <c r="C126" s="3" t="inlineStr">
        <is>
          <t>Tanque elevado</t>
        </is>
      </c>
      <c r="D126" s="3" t="inlineStr">
        <is>
          <t>Servidumbre (equipos)</t>
        </is>
      </c>
      <c r="E126" s="3" t="n">
        <v>1</v>
      </c>
      <c r="F126" s="5" t="n">
        <v>60</v>
      </c>
      <c r="G126" s="5">
        <f>E126*F126</f>
        <v/>
      </c>
      <c r="H126" s="3" t="n"/>
      <c r="I126" s="3" t="inlineStr"/>
      <c r="J126" s="3" t="inlineStr">
        <is>
          <t>Reserva de agua</t>
        </is>
      </c>
    </row>
    <row r="127">
      <c r="A127" s="3" t="inlineStr">
        <is>
          <t>Azotea técnica</t>
        </is>
      </c>
      <c r="B127" s="4" t="n">
        <v>21</v>
      </c>
      <c r="C127" s="3" t="inlineStr">
        <is>
          <t>Equipos de extracción y ventilación</t>
        </is>
      </c>
      <c r="D127" s="3" t="inlineStr">
        <is>
          <t>Servidumbre (equipos)</t>
        </is>
      </c>
      <c r="E127" s="3" t="n">
        <v>1</v>
      </c>
      <c r="F127" s="5" t="n">
        <v>40</v>
      </c>
      <c r="G127" s="5">
        <f>E127*F127</f>
        <v/>
      </c>
      <c r="H127" s="3" t="n"/>
      <c r="I127" s="3" t="inlineStr"/>
      <c r="J127" s="3" t="inlineStr"/>
    </row>
    <row r="128">
      <c r="A128" s="3" t="inlineStr">
        <is>
          <t>Azotea técnica</t>
        </is>
      </c>
      <c r="B128" s="4" t="n">
        <v>21</v>
      </c>
      <c r="C128" s="3" t="inlineStr">
        <is>
          <t>Escalera de evacuación protegida</t>
        </is>
      </c>
      <c r="D128" s="3" t="inlineStr">
        <is>
          <t>Escalera y ascensor</t>
        </is>
      </c>
      <c r="E128" s="3" t="n">
        <v>1</v>
      </c>
      <c r="F128" s="5" t="n">
        <v>16</v>
      </c>
      <c r="G128" s="5">
        <f>E128*F128</f>
        <v/>
      </c>
      <c r="H128" s="3" t="n"/>
      <c r="I128" s="3" t="inlineStr"/>
      <c r="J128" s="3" t="inlineStr">
        <is>
          <t>Protegida, ancho libre ≥ 1.20 m</t>
        </is>
      </c>
    </row>
    <row r="129">
      <c r="A129" s="10" t="inlineStr">
        <is>
          <t>Azotea técnica</t>
        </is>
      </c>
      <c r="B129" s="11" t="n">
        <v>21</v>
      </c>
      <c r="C129" s="10" t="inlineStr">
        <is>
          <t>Subtotal área útil (techada)</t>
        </is>
      </c>
      <c r="D129" s="10" t="n"/>
      <c r="E129" s="10" t="n"/>
      <c r="F129" s="12" t="n"/>
      <c r="G129" s="12">
        <f>SUM(G126:G128)</f>
        <v/>
      </c>
      <c r="H129" s="10">
        <f>SUM(H126:H128)</f>
        <v/>
      </c>
      <c r="I129" s="10" t="n"/>
      <c r="J129" s="10" t="n"/>
    </row>
    <row r="130">
      <c r="A130" s="3" t="inlineStr">
        <is>
          <t>Azotea técnica</t>
        </is>
      </c>
      <c r="B130" s="4" t="n">
        <v>21</v>
      </c>
      <c r="C130" s="3" t="inlineStr">
        <is>
          <t>Circulación horizontal y hall (corredores, galería, vestíbulos)</t>
        </is>
      </c>
      <c r="D130" s="3" t="inlineStr">
        <is>
          <t>Circulación y hall</t>
        </is>
      </c>
      <c r="E130" s="3" t="n"/>
      <c r="F130" s="5" t="n"/>
      <c r="G130" s="5" t="n">
        <v>0</v>
      </c>
      <c r="H130" s="3" t="n"/>
      <c r="I130" s="3" t="n"/>
      <c r="J130" s="3" t="inlineStr">
        <is>
          <t>Sale de la planta dibujada</t>
        </is>
      </c>
    </row>
    <row r="131">
      <c r="A131" s="3" t="inlineStr">
        <is>
          <t>Azotea técnica</t>
        </is>
      </c>
      <c r="B131" s="4" t="n">
        <v>21</v>
      </c>
      <c r="C131" s="3" t="inlineStr">
        <is>
          <t>Azotea descubierta (área libre)</t>
        </is>
      </c>
      <c r="D131" s="3" t="inlineStr">
        <is>
          <t>Área libre</t>
        </is>
      </c>
      <c r="E131" s="3" t="n"/>
      <c r="F131" s="5" t="n"/>
      <c r="G131" s="5" t="n">
        <v>287.4</v>
      </c>
      <c r="H131" s="3" t="n"/>
      <c r="I131" s="3" t="n"/>
      <c r="J131" s="3" t="inlineStr">
        <is>
          <t>Área no techada</t>
        </is>
      </c>
    </row>
    <row r="132">
      <c r="A132" s="3" t="inlineStr">
        <is>
          <t>Azotea técnica</t>
        </is>
      </c>
      <c r="B132" s="4" t="n">
        <v>21</v>
      </c>
      <c r="C132" s="3" t="inlineStr">
        <is>
          <t>Muros, columnas y tolerancia</t>
        </is>
      </c>
      <c r="D132" s="3" t="inlineStr">
        <is>
          <t>Muros y tolerancia</t>
        </is>
      </c>
      <c r="E132" s="3" t="n"/>
      <c r="F132" s="5" t="n"/>
      <c r="G132" s="5">
        <f>MAX(0,ROUND(G133-G129-G130-G131,1))</f>
        <v/>
      </c>
      <c r="H132" s="3" t="n"/>
      <c r="I132" s="3" t="n"/>
      <c r="J132" s="3" t="inlineStr">
        <is>
          <t>Las áreas se miden a ejes de muros</t>
        </is>
      </c>
    </row>
    <row r="133">
      <c r="A133" s="6" t="inlineStr">
        <is>
          <t>Azotea técnica</t>
        </is>
      </c>
      <c r="B133" s="13" t="n">
        <v>21</v>
      </c>
      <c r="C133" s="6" t="inlineStr">
        <is>
          <t>ÁREA BRUTA DEL NIVEL (huella)</t>
        </is>
      </c>
      <c r="D133" s="6" t="n"/>
      <c r="E133" s="6" t="n"/>
      <c r="F133" s="7" t="n"/>
      <c r="G133" s="7" t="n">
        <v>403.4</v>
      </c>
      <c r="H133" s="6" t="n"/>
      <c r="I133" s="6" t="n"/>
      <c r="J133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  <col width="22" customWidth="1" min="4" max="4"/>
    <col width="7" customWidth="1" min="5" max="5"/>
    <col width="14" customWidth="1" min="6" max="6"/>
    <col width="14" customWidth="1" min="7" max="7"/>
    <col width="8" customWidth="1" min="8" max="8"/>
    <col width="28" customWidth="1" min="9" max="9"/>
    <col width="50" customWidth="1" min="10" max="10"/>
  </cols>
  <sheetData>
    <row r="1">
      <c r="A1" s="1" t="inlineStr">
        <is>
          <t>EDIFICIO 2 · huella 18.94 × 9.90 m = 187.5 m² · 5 niveles</t>
        </is>
      </c>
    </row>
    <row r="3">
      <c r="A3" s="2" t="inlineStr">
        <is>
          <t>Nivel</t>
        </is>
      </c>
      <c r="B3" s="2" t="inlineStr">
        <is>
          <t>Cota (m)</t>
        </is>
      </c>
      <c r="C3" s="2" t="inlineStr">
        <is>
          <t>Ambiente</t>
        </is>
      </c>
      <c r="D3" s="2" t="inlineStr">
        <is>
          <t>Categoría</t>
        </is>
      </c>
      <c r="E3" s="2" t="inlineStr">
        <is>
          <t>Cant.</t>
        </is>
      </c>
      <c r="F3" s="2" t="inlineStr">
        <is>
          <t>Área unit. (m²)</t>
        </is>
      </c>
      <c r="G3" s="2" t="inlineStr">
        <is>
          <t>Área total (m²)</t>
        </is>
      </c>
      <c r="H3" s="2" t="inlineStr">
        <is>
          <t>Aforo</t>
        </is>
      </c>
      <c r="I3" s="2" t="inlineStr">
        <is>
          <t>Ventilación</t>
        </is>
      </c>
      <c r="J3" s="2" t="inlineStr">
        <is>
          <t>Observaciones</t>
        </is>
      </c>
    </row>
    <row r="4">
      <c r="A4" s="8" t="inlineStr">
        <is>
          <t>SÓTANO 1 · Piso de servidumbre: depósito y equipos</t>
        </is>
      </c>
      <c r="B4" s="9" t="n">
        <v>-3</v>
      </c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inlineStr">
        <is>
          <t>Sótano 1</t>
        </is>
      </c>
      <c r="B5" s="4" t="n">
        <v>-3</v>
      </c>
      <c r="C5" s="3" t="inlineStr">
        <is>
          <t>Cuarto de residuos y limpieza</t>
        </is>
      </c>
      <c r="D5" s="3" t="inlineStr">
        <is>
          <t>Servidumbre (equipos)</t>
        </is>
      </c>
      <c r="E5" s="3" t="n">
        <v>1</v>
      </c>
      <c r="F5" s="5" t="n">
        <v>16</v>
      </c>
      <c r="G5" s="5">
        <f>E5*F5</f>
        <v/>
      </c>
      <c r="H5" s="3" t="n"/>
      <c r="I5" s="3" t="inlineStr"/>
      <c r="J5" s="3" t="inlineStr"/>
    </row>
    <row r="6">
      <c r="A6" s="3" t="inlineStr">
        <is>
          <t>Sótano 1</t>
        </is>
      </c>
      <c r="B6" s="4" t="n">
        <v>-3</v>
      </c>
      <c r="C6" s="3" t="inlineStr">
        <is>
          <t>Cuarto de comunicaciones</t>
        </is>
      </c>
      <c r="D6" s="3" t="inlineStr">
        <is>
          <t>Servidumbre (equipos)</t>
        </is>
      </c>
      <c r="E6" s="3" t="n">
        <v>1</v>
      </c>
      <c r="F6" s="5" t="n">
        <v>14</v>
      </c>
      <c r="G6" s="5">
        <f>E6*F6</f>
        <v/>
      </c>
      <c r="H6" s="3" t="n"/>
      <c r="I6" s="3" t="inlineStr"/>
      <c r="J6" s="3" t="inlineStr"/>
    </row>
    <row r="7">
      <c r="A7" s="3" t="inlineStr">
        <is>
          <t>Sótano 1</t>
        </is>
      </c>
      <c r="B7" s="4" t="n">
        <v>-3</v>
      </c>
      <c r="C7" s="3" t="inlineStr">
        <is>
          <t>Depósito general</t>
        </is>
      </c>
      <c r="D7" s="3" t="inlineStr">
        <is>
          <t>Depósitos</t>
        </is>
      </c>
      <c r="E7" s="3" t="n">
        <v>1</v>
      </c>
      <c r="F7" s="5" t="n">
        <v>70</v>
      </c>
      <c r="G7" s="5">
        <f>E7*F7</f>
        <v/>
      </c>
      <c r="H7" s="3" t="n"/>
      <c r="I7" s="3" t="inlineStr"/>
      <c r="J7" s="3" t="inlineStr">
        <is>
          <t>Mobiliario, equipos y repuestos</t>
        </is>
      </c>
    </row>
    <row r="8">
      <c r="A8" s="3" t="inlineStr">
        <is>
          <t>Sótano 1</t>
        </is>
      </c>
      <c r="B8" s="4" t="n">
        <v>-3</v>
      </c>
      <c r="C8" s="3" t="inlineStr">
        <is>
          <t>Cuarto de bombas y tablero general</t>
        </is>
      </c>
      <c r="D8" s="3" t="inlineStr">
        <is>
          <t>Servidumbre (equipos)</t>
        </is>
      </c>
      <c r="E8" s="3" t="n">
        <v>1</v>
      </c>
      <c r="F8" s="5" t="n">
        <v>30</v>
      </c>
      <c r="G8" s="5">
        <f>E8*F8</f>
        <v/>
      </c>
      <c r="H8" s="3" t="n"/>
      <c r="I8" s="3" t="inlineStr"/>
      <c r="J8" s="3" t="inlineStr">
        <is>
          <t>Piso de servidumbre</t>
        </is>
      </c>
    </row>
    <row r="9">
      <c r="A9" s="3" t="inlineStr">
        <is>
          <t>Sótano 1</t>
        </is>
      </c>
      <c r="B9" s="4" t="n">
        <v>-3</v>
      </c>
      <c r="C9" s="3" t="inlineStr">
        <is>
          <t>Ductos de instalaciones y ventilación</t>
        </is>
      </c>
      <c r="D9" s="3" t="inlineStr">
        <is>
          <t>SS.HH. y ductos</t>
        </is>
      </c>
      <c r="E9" s="3" t="n">
        <v>1</v>
      </c>
      <c r="F9" s="5" t="n">
        <v>4</v>
      </c>
      <c r="G9" s="5">
        <f>E9*F9</f>
        <v/>
      </c>
      <c r="H9" s="3" t="n"/>
      <c r="I9" s="3" t="inlineStr"/>
      <c r="J9" s="3" t="inlineStr"/>
    </row>
    <row r="10">
      <c r="A10" s="3" t="inlineStr">
        <is>
          <t>Sótano 1</t>
        </is>
      </c>
      <c r="B10" s="4" t="n">
        <v>-3</v>
      </c>
      <c r="C10" s="3" t="inlineStr">
        <is>
          <t>Ascensor accesible (cabina camilla)</t>
        </is>
      </c>
      <c r="D10" s="3" t="inlineStr">
        <is>
          <t>Escalera y ascensor</t>
        </is>
      </c>
      <c r="E10" s="3" t="n">
        <v>1</v>
      </c>
      <c r="F10" s="5" t="n">
        <v>6</v>
      </c>
      <c r="G10" s="5">
        <f>E10*F10</f>
        <v/>
      </c>
      <c r="H10" s="3" t="n"/>
      <c r="I10" s="3" t="inlineStr"/>
      <c r="J10" s="3" t="inlineStr">
        <is>
          <t>Acceso universal (RNE A.120)</t>
        </is>
      </c>
    </row>
    <row r="11">
      <c r="A11" s="3" t="inlineStr">
        <is>
          <t>Sótano 1</t>
        </is>
      </c>
      <c r="B11" s="4" t="n">
        <v>-3</v>
      </c>
      <c r="C11" s="3" t="inlineStr">
        <is>
          <t>Escalera de evacuación protegida</t>
        </is>
      </c>
      <c r="D11" s="3" t="inlineStr">
        <is>
          <t>Escalera y ascensor</t>
        </is>
      </c>
      <c r="E11" s="3" t="n">
        <v>1</v>
      </c>
      <c r="F11" s="5" t="n">
        <v>16</v>
      </c>
      <c r="G11" s="5">
        <f>E11*F11</f>
        <v/>
      </c>
      <c r="H11" s="3" t="n"/>
      <c r="I11" s="3" t="inlineStr"/>
      <c r="J11" s="3" t="inlineStr">
        <is>
          <t>Protegida, ancho libre ≥ 1.20 m</t>
        </is>
      </c>
    </row>
    <row r="12">
      <c r="A12" s="10" t="inlineStr">
        <is>
          <t>Sótano 1</t>
        </is>
      </c>
      <c r="B12" s="11" t="n">
        <v>-3</v>
      </c>
      <c r="C12" s="10" t="inlineStr">
        <is>
          <t>Subtotal área útil (techada)</t>
        </is>
      </c>
      <c r="D12" s="10" t="n"/>
      <c r="E12" s="10" t="n"/>
      <c r="F12" s="12" t="n"/>
      <c r="G12" s="12">
        <f>SUM(G5:G11)</f>
        <v/>
      </c>
      <c r="H12" s="10">
        <f>SUM(H5:H11)</f>
        <v/>
      </c>
      <c r="I12" s="10" t="n"/>
      <c r="J12" s="10" t="n"/>
    </row>
    <row r="13">
      <c r="A13" s="3" t="inlineStr">
        <is>
          <t>Sótano 1</t>
        </is>
      </c>
      <c r="B13" s="4" t="n">
        <v>-3</v>
      </c>
      <c r="C13" s="3" t="inlineStr">
        <is>
          <t>Circulación horizontal y hall (corredores, galería, vestíbulos)</t>
        </is>
      </c>
      <c r="D13" s="3" t="inlineStr">
        <is>
          <t>Circulación y hall</t>
        </is>
      </c>
      <c r="E13" s="3" t="n"/>
      <c r="F13" s="5" t="n"/>
      <c r="G13" s="5" t="n">
        <v>28.4</v>
      </c>
      <c r="H13" s="3" t="n"/>
      <c r="I13" s="3" t="n"/>
      <c r="J13" s="3" t="inlineStr">
        <is>
          <t>Sale de la planta dibujada</t>
        </is>
      </c>
    </row>
    <row r="14">
      <c r="A14" s="3" t="inlineStr">
        <is>
          <t>Sótano 1</t>
        </is>
      </c>
      <c r="B14" s="4" t="n">
        <v>-3</v>
      </c>
      <c r="C14" s="3" t="inlineStr">
        <is>
          <t>Muros, columnas y tolerancia</t>
        </is>
      </c>
      <c r="D14" s="3" t="inlineStr">
        <is>
          <t>Muros y tolerancia</t>
        </is>
      </c>
      <c r="E14" s="3" t="n"/>
      <c r="F14" s="5" t="n"/>
      <c r="G14" s="5">
        <f>MAX(0,ROUND(G15-G12-G13,1))</f>
        <v/>
      </c>
      <c r="H14" s="3" t="n"/>
      <c r="I14" s="3" t="n"/>
      <c r="J14" s="3" t="inlineStr">
        <is>
          <t>Las áreas se miden a ejes de muros</t>
        </is>
      </c>
    </row>
    <row r="15">
      <c r="A15" s="6" t="inlineStr">
        <is>
          <t>Sótano 1</t>
        </is>
      </c>
      <c r="B15" s="13" t="n">
        <v>-3</v>
      </c>
      <c r="C15" s="6" t="inlineStr">
        <is>
          <t>ÁREA BRUTA DEL NIVEL (huella)</t>
        </is>
      </c>
      <c r="D15" s="6" t="n"/>
      <c r="E15" s="6" t="n"/>
      <c r="F15" s="7" t="n"/>
      <c r="G15" s="7" t="n">
        <v>187.5</v>
      </c>
      <c r="H15" s="6" t="n"/>
      <c r="I15" s="6" t="n"/>
      <c r="J15" s="6" t="n"/>
    </row>
    <row r="17">
      <c r="A17" s="8" t="inlineStr">
        <is>
          <t>PISO 1 · Cafetería y hall de acceso</t>
        </is>
      </c>
      <c r="B17" s="9" t="n">
        <v>0</v>
      </c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3" t="inlineStr">
        <is>
          <t>Piso 1</t>
        </is>
      </c>
      <c r="B18" s="4" t="n">
        <v>0</v>
      </c>
      <c r="C18" s="3" t="inlineStr">
        <is>
          <t>Cafetería</t>
        </is>
      </c>
      <c r="D18" s="3" t="inlineStr">
        <is>
          <t>Cafetería</t>
        </is>
      </c>
      <c r="E18" s="3" t="n">
        <v>1</v>
      </c>
      <c r="F18" s="5" t="n">
        <v>70</v>
      </c>
      <c r="G18" s="5">
        <f>E18*F18</f>
        <v/>
      </c>
      <c r="H18" s="3" t="n">
        <v>45</v>
      </c>
      <c r="I18" s="3" t="inlineStr">
        <is>
          <t>Natural</t>
        </is>
      </c>
      <c r="J18" s="3" t="inlineStr">
        <is>
          <t>1.5 m²/persona</t>
        </is>
      </c>
    </row>
    <row r="19">
      <c r="A19" s="3" t="inlineStr">
        <is>
          <t>Piso 1</t>
        </is>
      </c>
      <c r="B19" s="4" t="n">
        <v>0</v>
      </c>
      <c r="C19" s="3" t="inlineStr">
        <is>
          <t>Cocina</t>
        </is>
      </c>
      <c r="D19" s="3" t="inlineStr">
        <is>
          <t>Cafetería</t>
        </is>
      </c>
      <c r="E19" s="3" t="n">
        <v>1</v>
      </c>
      <c r="F19" s="5" t="n">
        <v>20</v>
      </c>
      <c r="G19" s="5">
        <f>E19*F19</f>
        <v/>
      </c>
      <c r="H19" s="3" t="n">
        <v>3</v>
      </c>
      <c r="I19" s="3" t="inlineStr"/>
      <c r="J19" s="3" t="inlineStr"/>
    </row>
    <row r="20">
      <c r="A20" s="3" t="inlineStr">
        <is>
          <t>Piso 1</t>
        </is>
      </c>
      <c r="B20" s="4" t="n">
        <v>0</v>
      </c>
      <c r="C20" s="3" t="inlineStr">
        <is>
          <t>Almacén y despensa</t>
        </is>
      </c>
      <c r="D20" s="3" t="inlineStr">
        <is>
          <t>Depósitos</t>
        </is>
      </c>
      <c r="E20" s="3" t="n">
        <v>1</v>
      </c>
      <c r="F20" s="5" t="n">
        <v>14</v>
      </c>
      <c r="G20" s="5">
        <f>E20*F20</f>
        <v/>
      </c>
      <c r="H20" s="3" t="n"/>
      <c r="I20" s="3" t="inlineStr"/>
      <c r="J20" s="3" t="inlineStr"/>
    </row>
    <row r="21">
      <c r="A21" s="3" t="inlineStr">
        <is>
          <t>Piso 1</t>
        </is>
      </c>
      <c r="B21" s="4" t="n">
        <v>0</v>
      </c>
      <c r="C21" s="3" t="inlineStr">
        <is>
          <t>SS.HH. hombres / mujeres / accesible</t>
        </is>
      </c>
      <c r="D21" s="3" t="inlineStr">
        <is>
          <t>SS.HH. y ductos</t>
        </is>
      </c>
      <c r="E21" s="3" t="n">
        <v>1</v>
      </c>
      <c r="F21" s="5" t="n">
        <v>14</v>
      </c>
      <c r="G21" s="5">
        <f>E21*F21</f>
        <v/>
      </c>
      <c r="H21" s="3" t="n"/>
      <c r="I21" s="3" t="inlineStr"/>
      <c r="J21" s="3" t="inlineStr">
        <is>
          <t>Según aforo del nivel</t>
        </is>
      </c>
    </row>
    <row r="22">
      <c r="A22" s="3" t="inlineStr">
        <is>
          <t>Piso 1</t>
        </is>
      </c>
      <c r="B22" s="4" t="n">
        <v>0</v>
      </c>
      <c r="C22" s="3" t="inlineStr">
        <is>
          <t>Ductos de instalaciones y ventilación</t>
        </is>
      </c>
      <c r="D22" s="3" t="inlineStr">
        <is>
          <t>SS.HH. y ductos</t>
        </is>
      </c>
      <c r="E22" s="3" t="n">
        <v>1</v>
      </c>
      <c r="F22" s="5" t="n">
        <v>4</v>
      </c>
      <c r="G22" s="5">
        <f>E22*F22</f>
        <v/>
      </c>
      <c r="H22" s="3" t="n"/>
      <c r="I22" s="3" t="inlineStr"/>
      <c r="J22" s="3" t="inlineStr"/>
    </row>
    <row r="23">
      <c r="A23" s="3" t="inlineStr">
        <is>
          <t>Piso 1</t>
        </is>
      </c>
      <c r="B23" s="4" t="n">
        <v>0</v>
      </c>
      <c r="C23" s="3" t="inlineStr">
        <is>
          <t>Ascensor accesible (cabina camilla)</t>
        </is>
      </c>
      <c r="D23" s="3" t="inlineStr">
        <is>
          <t>Escalera y ascensor</t>
        </is>
      </c>
      <c r="E23" s="3" t="n">
        <v>1</v>
      </c>
      <c r="F23" s="5" t="n">
        <v>6</v>
      </c>
      <c r="G23" s="5">
        <f>E23*F23</f>
        <v/>
      </c>
      <c r="H23" s="3" t="n"/>
      <c r="I23" s="3" t="inlineStr"/>
      <c r="J23" s="3" t="inlineStr">
        <is>
          <t>Acceso universal (RNE A.120)</t>
        </is>
      </c>
    </row>
    <row r="24">
      <c r="A24" s="3" t="inlineStr">
        <is>
          <t>Piso 1</t>
        </is>
      </c>
      <c r="B24" s="4" t="n">
        <v>0</v>
      </c>
      <c r="C24" s="3" t="inlineStr">
        <is>
          <t>Escalera de evacuación protegida</t>
        </is>
      </c>
      <c r="D24" s="3" t="inlineStr">
        <is>
          <t>Escalera y ascensor</t>
        </is>
      </c>
      <c r="E24" s="3" t="n">
        <v>1</v>
      </c>
      <c r="F24" s="5" t="n">
        <v>16</v>
      </c>
      <c r="G24" s="5">
        <f>E24*F24</f>
        <v/>
      </c>
      <c r="H24" s="3" t="n"/>
      <c r="I24" s="3" t="inlineStr"/>
      <c r="J24" s="3" t="inlineStr">
        <is>
          <t>Protegida, ancho libre ≥ 1.20 m</t>
        </is>
      </c>
    </row>
    <row r="25">
      <c r="A25" s="3" t="inlineStr">
        <is>
          <t>Piso 1</t>
        </is>
      </c>
      <c r="B25" s="4" t="n">
        <v>0</v>
      </c>
      <c r="C25" s="3" t="inlineStr">
        <is>
          <t>Hall de acceso y ascensor</t>
        </is>
      </c>
      <c r="D25" s="3" t="inlineStr">
        <is>
          <t>Circulación y hall</t>
        </is>
      </c>
      <c r="E25" s="3" t="n">
        <v>1</v>
      </c>
      <c r="F25" s="5" t="n">
        <v>30</v>
      </c>
      <c r="G25" s="5">
        <f>E25*F25</f>
        <v/>
      </c>
      <c r="H25" s="3" t="n"/>
      <c r="I25" s="3" t="inlineStr"/>
      <c r="J25" s="3" t="inlineStr">
        <is>
          <t>Conexión con el Edificio 1</t>
        </is>
      </c>
    </row>
    <row r="26">
      <c r="A26" s="10" t="inlineStr">
        <is>
          <t>Piso 1</t>
        </is>
      </c>
      <c r="B26" s="11" t="n">
        <v>0</v>
      </c>
      <c r="C26" s="10" t="inlineStr">
        <is>
          <t>Subtotal área útil (techada)</t>
        </is>
      </c>
      <c r="D26" s="10" t="n"/>
      <c r="E26" s="10" t="n"/>
      <c r="F26" s="12" t="n"/>
      <c r="G26" s="12">
        <f>SUM(G18:G25)</f>
        <v/>
      </c>
      <c r="H26" s="10">
        <f>SUM(H18:H25)</f>
        <v/>
      </c>
      <c r="I26" s="10" t="n"/>
      <c r="J26" s="10" t="n"/>
    </row>
    <row r="27">
      <c r="A27" s="3" t="inlineStr">
        <is>
          <t>Piso 1</t>
        </is>
      </c>
      <c r="B27" s="4" t="n">
        <v>0</v>
      </c>
      <c r="C27" s="3" t="inlineStr">
        <is>
          <t>Circulación horizontal y hall (corredores, galería, vestíbulos)</t>
        </is>
      </c>
      <c r="D27" s="3" t="inlineStr">
        <is>
          <t>Circulación y hall</t>
        </is>
      </c>
      <c r="E27" s="3" t="n"/>
      <c r="F27" s="5" t="n"/>
      <c r="G27" s="5" t="n">
        <v>10.3</v>
      </c>
      <c r="H27" s="3" t="n"/>
      <c r="I27" s="3" t="n"/>
      <c r="J27" s="3" t="inlineStr">
        <is>
          <t>Sale de la planta dibujada</t>
        </is>
      </c>
    </row>
    <row r="28">
      <c r="A28" s="3" t="inlineStr">
        <is>
          <t>Piso 1</t>
        </is>
      </c>
      <c r="B28" s="4" t="n">
        <v>0</v>
      </c>
      <c r="C28" s="3" t="inlineStr">
        <is>
          <t>Muros, columnas y tolerancia</t>
        </is>
      </c>
      <c r="D28" s="3" t="inlineStr">
        <is>
          <t>Muros y tolerancia</t>
        </is>
      </c>
      <c r="E28" s="3" t="n"/>
      <c r="F28" s="5" t="n"/>
      <c r="G28" s="5">
        <f>MAX(0,ROUND(G29-G26-G27,1))</f>
        <v/>
      </c>
      <c r="H28" s="3" t="n"/>
      <c r="I28" s="3" t="n"/>
      <c r="J28" s="3" t="inlineStr">
        <is>
          <t>Las áreas se miden a ejes de muros</t>
        </is>
      </c>
    </row>
    <row r="29">
      <c r="A29" s="6" t="inlineStr">
        <is>
          <t>Piso 1</t>
        </is>
      </c>
      <c r="B29" s="13" t="n">
        <v>0</v>
      </c>
      <c r="C29" s="6" t="inlineStr">
        <is>
          <t>ÁREA BRUTA DEL NIVEL (huella)</t>
        </is>
      </c>
      <c r="D29" s="6" t="n"/>
      <c r="E29" s="6" t="n"/>
      <c r="F29" s="7" t="n"/>
      <c r="G29" s="7" t="n">
        <v>187.5</v>
      </c>
      <c r="H29" s="6" t="n"/>
      <c r="I29" s="6" t="n"/>
      <c r="J29" s="6" t="n"/>
    </row>
    <row r="31">
      <c r="A31" s="8" t="inlineStr">
        <is>
          <t>PISO 2 · Aula de idiomas 1 y sala de práctica</t>
        </is>
      </c>
      <c r="B31" s="9" t="n">
        <v>3</v>
      </c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3" t="inlineStr">
        <is>
          <t>Piso 2</t>
        </is>
      </c>
      <c r="B32" s="4" t="n">
        <v>3</v>
      </c>
      <c r="C32" s="3" t="inlineStr">
        <is>
          <t>Aula de idiomas (30 al.)</t>
        </is>
      </c>
      <c r="D32" s="3" t="inlineStr">
        <is>
          <t>Aulas</t>
        </is>
      </c>
      <c r="E32" s="3" t="n">
        <v>1</v>
      </c>
      <c r="F32" s="5" t="n">
        <v>50</v>
      </c>
      <c r="G32" s="5">
        <f>E32*F32</f>
        <v/>
      </c>
      <c r="H32" s="3" t="n">
        <v>30</v>
      </c>
      <c r="I32" s="3" t="inlineStr">
        <is>
          <t>Natural</t>
        </is>
      </c>
      <c r="J32" s="3" t="inlineStr">
        <is>
          <t>1.5 m²/alumno</t>
        </is>
      </c>
    </row>
    <row r="33">
      <c r="A33" s="3" t="inlineStr">
        <is>
          <t>Piso 2</t>
        </is>
      </c>
      <c r="B33" s="4" t="n">
        <v>3</v>
      </c>
      <c r="C33" s="3" t="inlineStr">
        <is>
          <t>Sala de práctica de conversación</t>
        </is>
      </c>
      <c r="D33" s="3" t="inlineStr">
        <is>
          <t>Aulas</t>
        </is>
      </c>
      <c r="E33" s="3" t="n">
        <v>1</v>
      </c>
      <c r="F33" s="5" t="n">
        <v>30</v>
      </c>
      <c r="G33" s="5">
        <f>E33*F33</f>
        <v/>
      </c>
      <c r="H33" s="3" t="n">
        <v>15</v>
      </c>
      <c r="I33" s="3" t="inlineStr"/>
      <c r="J33" s="3" t="inlineStr"/>
    </row>
    <row r="34">
      <c r="A34" s="3" t="inlineStr">
        <is>
          <t>Piso 2</t>
        </is>
      </c>
      <c r="B34" s="4" t="n">
        <v>3</v>
      </c>
      <c r="C34" s="3" t="inlineStr">
        <is>
          <t>Depósito</t>
        </is>
      </c>
      <c r="D34" s="3" t="inlineStr">
        <is>
          <t>Depósitos</t>
        </is>
      </c>
      <c r="E34" s="3" t="n">
        <v>1</v>
      </c>
      <c r="F34" s="5" t="n">
        <v>10</v>
      </c>
      <c r="G34" s="5">
        <f>E34*F34</f>
        <v/>
      </c>
      <c r="H34" s="3" t="n"/>
      <c r="I34" s="3" t="inlineStr"/>
      <c r="J34" s="3" t="inlineStr"/>
    </row>
    <row r="35">
      <c r="A35" s="3" t="inlineStr">
        <is>
          <t>Piso 2</t>
        </is>
      </c>
      <c r="B35" s="4" t="n">
        <v>3</v>
      </c>
      <c r="C35" s="3" t="inlineStr">
        <is>
          <t>SS.HH. hombres / mujeres / accesible</t>
        </is>
      </c>
      <c r="D35" s="3" t="inlineStr">
        <is>
          <t>SS.HH. y ductos</t>
        </is>
      </c>
      <c r="E35" s="3" t="n">
        <v>1</v>
      </c>
      <c r="F35" s="5" t="n">
        <v>14</v>
      </c>
      <c r="G35" s="5">
        <f>E35*F35</f>
        <v/>
      </c>
      <c r="H35" s="3" t="n"/>
      <c r="I35" s="3" t="inlineStr"/>
      <c r="J35" s="3" t="inlineStr">
        <is>
          <t>Según aforo del nivel</t>
        </is>
      </c>
    </row>
    <row r="36">
      <c r="A36" s="3" t="inlineStr">
        <is>
          <t>Piso 2</t>
        </is>
      </c>
      <c r="B36" s="4" t="n">
        <v>3</v>
      </c>
      <c r="C36" s="3" t="inlineStr">
        <is>
          <t>Ductos de instalaciones y ventilación</t>
        </is>
      </c>
      <c r="D36" s="3" t="inlineStr">
        <is>
          <t>SS.HH. y ductos</t>
        </is>
      </c>
      <c r="E36" s="3" t="n">
        <v>1</v>
      </c>
      <c r="F36" s="5" t="n">
        <v>4</v>
      </c>
      <c r="G36" s="5">
        <f>E36*F36</f>
        <v/>
      </c>
      <c r="H36" s="3" t="n"/>
      <c r="I36" s="3" t="inlineStr"/>
      <c r="J36" s="3" t="inlineStr"/>
    </row>
    <row r="37">
      <c r="A37" s="3" t="inlineStr">
        <is>
          <t>Piso 2</t>
        </is>
      </c>
      <c r="B37" s="4" t="n">
        <v>3</v>
      </c>
      <c r="C37" s="3" t="inlineStr">
        <is>
          <t>Ascensor accesible (cabina camilla)</t>
        </is>
      </c>
      <c r="D37" s="3" t="inlineStr">
        <is>
          <t>Escalera y ascensor</t>
        </is>
      </c>
      <c r="E37" s="3" t="n">
        <v>1</v>
      </c>
      <c r="F37" s="5" t="n">
        <v>6</v>
      </c>
      <c r="G37" s="5">
        <f>E37*F37</f>
        <v/>
      </c>
      <c r="H37" s="3" t="n"/>
      <c r="I37" s="3" t="inlineStr"/>
      <c r="J37" s="3" t="inlineStr">
        <is>
          <t>Acceso universal (RNE A.120)</t>
        </is>
      </c>
    </row>
    <row r="38">
      <c r="A38" s="3" t="inlineStr">
        <is>
          <t>Piso 2</t>
        </is>
      </c>
      <c r="B38" s="4" t="n">
        <v>3</v>
      </c>
      <c r="C38" s="3" t="inlineStr">
        <is>
          <t>Escalera de evacuación protegida</t>
        </is>
      </c>
      <c r="D38" s="3" t="inlineStr">
        <is>
          <t>Escalera y ascensor</t>
        </is>
      </c>
      <c r="E38" s="3" t="n">
        <v>1</v>
      </c>
      <c r="F38" s="5" t="n">
        <v>16</v>
      </c>
      <c r="G38" s="5">
        <f>E38*F38</f>
        <v/>
      </c>
      <c r="H38" s="3" t="n"/>
      <c r="I38" s="3" t="inlineStr"/>
      <c r="J38" s="3" t="inlineStr">
        <is>
          <t>Protegida, ancho libre ≥ 1.20 m</t>
        </is>
      </c>
    </row>
    <row r="39">
      <c r="A39" s="10" t="inlineStr">
        <is>
          <t>Piso 2</t>
        </is>
      </c>
      <c r="B39" s="11" t="n">
        <v>3</v>
      </c>
      <c r="C39" s="10" t="inlineStr">
        <is>
          <t>Subtotal área útil (techada)</t>
        </is>
      </c>
      <c r="D39" s="10" t="n"/>
      <c r="E39" s="10" t="n"/>
      <c r="F39" s="12" t="n"/>
      <c r="G39" s="12">
        <f>SUM(G32:G38)</f>
        <v/>
      </c>
      <c r="H39" s="10">
        <f>SUM(H32:H38)</f>
        <v/>
      </c>
      <c r="I39" s="10" t="n"/>
      <c r="J39" s="10" t="n"/>
    </row>
    <row r="40">
      <c r="A40" s="3" t="inlineStr">
        <is>
          <t>Piso 2</t>
        </is>
      </c>
      <c r="B40" s="4" t="n">
        <v>3</v>
      </c>
      <c r="C40" s="3" t="inlineStr">
        <is>
          <t>Circulación horizontal y hall (corredores, galería, vestíbulos)</t>
        </is>
      </c>
      <c r="D40" s="3" t="inlineStr">
        <is>
          <t>Circulación y hall</t>
        </is>
      </c>
      <c r="E40" s="3" t="n"/>
      <c r="F40" s="5" t="n"/>
      <c r="G40" s="5" t="n">
        <v>56.6</v>
      </c>
      <c r="H40" s="3" t="n"/>
      <c r="I40" s="3" t="n"/>
      <c r="J40" s="3" t="inlineStr">
        <is>
          <t>Sale de la planta dibujada</t>
        </is>
      </c>
    </row>
    <row r="41">
      <c r="A41" s="3" t="inlineStr">
        <is>
          <t>Piso 2</t>
        </is>
      </c>
      <c r="B41" s="4" t="n">
        <v>3</v>
      </c>
      <c r="C41" s="3" t="inlineStr">
        <is>
          <t>Muros, columnas y tolerancia</t>
        </is>
      </c>
      <c r="D41" s="3" t="inlineStr">
        <is>
          <t>Muros y tolerancia</t>
        </is>
      </c>
      <c r="E41" s="3" t="n"/>
      <c r="F41" s="5" t="n"/>
      <c r="G41" s="5">
        <f>MAX(0,ROUND(G42-G39-G40,1))</f>
        <v/>
      </c>
      <c r="H41" s="3" t="n"/>
      <c r="I41" s="3" t="n"/>
      <c r="J41" s="3" t="inlineStr">
        <is>
          <t>Las áreas se miden a ejes de muros</t>
        </is>
      </c>
    </row>
    <row r="42">
      <c r="A42" s="6" t="inlineStr">
        <is>
          <t>Piso 2</t>
        </is>
      </c>
      <c r="B42" s="13" t="n">
        <v>3</v>
      </c>
      <c r="C42" s="6" t="inlineStr">
        <is>
          <t>ÁREA BRUTA DEL NIVEL (huella)</t>
        </is>
      </c>
      <c r="D42" s="6" t="n"/>
      <c r="E42" s="6" t="n"/>
      <c r="F42" s="7" t="n"/>
      <c r="G42" s="7" t="n">
        <v>187.5</v>
      </c>
      <c r="H42" s="6" t="n"/>
      <c r="I42" s="6" t="n"/>
      <c r="J42" s="6" t="n"/>
    </row>
    <row r="44">
      <c r="A44" s="8" t="inlineStr">
        <is>
          <t>PISO 3 · Aula de idiomas 2 y sala de práctica</t>
        </is>
      </c>
      <c r="B44" s="9" t="n">
        <v>6</v>
      </c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3" t="inlineStr">
        <is>
          <t>Piso 3</t>
        </is>
      </c>
      <c r="B45" s="4" t="n">
        <v>6</v>
      </c>
      <c r="C45" s="3" t="inlineStr">
        <is>
          <t>Aula de idiomas (30 al.)</t>
        </is>
      </c>
      <c r="D45" s="3" t="inlineStr">
        <is>
          <t>Aulas</t>
        </is>
      </c>
      <c r="E45" s="3" t="n">
        <v>1</v>
      </c>
      <c r="F45" s="5" t="n">
        <v>50</v>
      </c>
      <c r="G45" s="5">
        <f>E45*F45</f>
        <v/>
      </c>
      <c r="H45" s="3" t="n">
        <v>30</v>
      </c>
      <c r="I45" s="3" t="inlineStr">
        <is>
          <t>Natural</t>
        </is>
      </c>
      <c r="J45" s="3" t="inlineStr">
        <is>
          <t>1.5 m²/alumno</t>
        </is>
      </c>
    </row>
    <row r="46">
      <c r="A46" s="3" t="inlineStr">
        <is>
          <t>Piso 3</t>
        </is>
      </c>
      <c r="B46" s="4" t="n">
        <v>6</v>
      </c>
      <c r="C46" s="3" t="inlineStr">
        <is>
          <t>Sala de práctica de conversación</t>
        </is>
      </c>
      <c r="D46" s="3" t="inlineStr">
        <is>
          <t>Aulas</t>
        </is>
      </c>
      <c r="E46" s="3" t="n">
        <v>1</v>
      </c>
      <c r="F46" s="5" t="n">
        <v>30</v>
      </c>
      <c r="G46" s="5">
        <f>E46*F46</f>
        <v/>
      </c>
      <c r="H46" s="3" t="n">
        <v>15</v>
      </c>
      <c r="I46" s="3" t="inlineStr"/>
      <c r="J46" s="3" t="inlineStr"/>
    </row>
    <row r="47">
      <c r="A47" s="3" t="inlineStr">
        <is>
          <t>Piso 3</t>
        </is>
      </c>
      <c r="B47" s="4" t="n">
        <v>6</v>
      </c>
      <c r="C47" s="3" t="inlineStr">
        <is>
          <t>Depósito</t>
        </is>
      </c>
      <c r="D47" s="3" t="inlineStr">
        <is>
          <t>Depósitos</t>
        </is>
      </c>
      <c r="E47" s="3" t="n">
        <v>1</v>
      </c>
      <c r="F47" s="5" t="n">
        <v>10</v>
      </c>
      <c r="G47" s="5">
        <f>E47*F47</f>
        <v/>
      </c>
      <c r="H47" s="3" t="n"/>
      <c r="I47" s="3" t="inlineStr"/>
      <c r="J47" s="3" t="inlineStr"/>
    </row>
    <row r="48">
      <c r="A48" s="3" t="inlineStr">
        <is>
          <t>Piso 3</t>
        </is>
      </c>
      <c r="B48" s="4" t="n">
        <v>6</v>
      </c>
      <c r="C48" s="3" t="inlineStr">
        <is>
          <t>SS.HH. hombres / mujeres / accesible</t>
        </is>
      </c>
      <c r="D48" s="3" t="inlineStr">
        <is>
          <t>SS.HH. y ductos</t>
        </is>
      </c>
      <c r="E48" s="3" t="n">
        <v>1</v>
      </c>
      <c r="F48" s="5" t="n">
        <v>14</v>
      </c>
      <c r="G48" s="5">
        <f>E48*F48</f>
        <v/>
      </c>
      <c r="H48" s="3" t="n"/>
      <c r="I48" s="3" t="inlineStr"/>
      <c r="J48" s="3" t="inlineStr">
        <is>
          <t>Según aforo del nivel</t>
        </is>
      </c>
    </row>
    <row r="49">
      <c r="A49" s="3" t="inlineStr">
        <is>
          <t>Piso 3</t>
        </is>
      </c>
      <c r="B49" s="4" t="n">
        <v>6</v>
      </c>
      <c r="C49" s="3" t="inlineStr">
        <is>
          <t>Ductos de instalaciones y ventilación</t>
        </is>
      </c>
      <c r="D49" s="3" t="inlineStr">
        <is>
          <t>SS.HH. y ductos</t>
        </is>
      </c>
      <c r="E49" s="3" t="n">
        <v>1</v>
      </c>
      <c r="F49" s="5" t="n">
        <v>4</v>
      </c>
      <c r="G49" s="5">
        <f>E49*F49</f>
        <v/>
      </c>
      <c r="H49" s="3" t="n"/>
      <c r="I49" s="3" t="inlineStr"/>
      <c r="J49" s="3" t="inlineStr"/>
    </row>
    <row r="50">
      <c r="A50" s="3" t="inlineStr">
        <is>
          <t>Piso 3</t>
        </is>
      </c>
      <c r="B50" s="4" t="n">
        <v>6</v>
      </c>
      <c r="C50" s="3" t="inlineStr">
        <is>
          <t>Ascensor accesible (cabina camilla)</t>
        </is>
      </c>
      <c r="D50" s="3" t="inlineStr">
        <is>
          <t>Escalera y ascensor</t>
        </is>
      </c>
      <c r="E50" s="3" t="n">
        <v>1</v>
      </c>
      <c r="F50" s="5" t="n">
        <v>6</v>
      </c>
      <c r="G50" s="5">
        <f>E50*F50</f>
        <v/>
      </c>
      <c r="H50" s="3" t="n"/>
      <c r="I50" s="3" t="inlineStr"/>
      <c r="J50" s="3" t="inlineStr">
        <is>
          <t>Acceso universal (RNE A.120)</t>
        </is>
      </c>
    </row>
    <row r="51">
      <c r="A51" s="3" t="inlineStr">
        <is>
          <t>Piso 3</t>
        </is>
      </c>
      <c r="B51" s="4" t="n">
        <v>6</v>
      </c>
      <c r="C51" s="3" t="inlineStr">
        <is>
          <t>Escalera de evacuación protegida</t>
        </is>
      </c>
      <c r="D51" s="3" t="inlineStr">
        <is>
          <t>Escalera y ascensor</t>
        </is>
      </c>
      <c r="E51" s="3" t="n">
        <v>1</v>
      </c>
      <c r="F51" s="5" t="n">
        <v>16</v>
      </c>
      <c r="G51" s="5">
        <f>E51*F51</f>
        <v/>
      </c>
      <c r="H51" s="3" t="n"/>
      <c r="I51" s="3" t="inlineStr"/>
      <c r="J51" s="3" t="inlineStr">
        <is>
          <t>Protegida, ancho libre ≥ 1.20 m</t>
        </is>
      </c>
    </row>
    <row r="52">
      <c r="A52" s="10" t="inlineStr">
        <is>
          <t>Piso 3</t>
        </is>
      </c>
      <c r="B52" s="11" t="n">
        <v>6</v>
      </c>
      <c r="C52" s="10" t="inlineStr">
        <is>
          <t>Subtotal área útil (techada)</t>
        </is>
      </c>
      <c r="D52" s="10" t="n"/>
      <c r="E52" s="10" t="n"/>
      <c r="F52" s="12" t="n"/>
      <c r="G52" s="12">
        <f>SUM(G45:G51)</f>
        <v/>
      </c>
      <c r="H52" s="10">
        <f>SUM(H45:H51)</f>
        <v/>
      </c>
      <c r="I52" s="10" t="n"/>
      <c r="J52" s="10" t="n"/>
    </row>
    <row r="53">
      <c r="A53" s="3" t="inlineStr">
        <is>
          <t>Piso 3</t>
        </is>
      </c>
      <c r="B53" s="4" t="n">
        <v>6</v>
      </c>
      <c r="C53" s="3" t="inlineStr">
        <is>
          <t>Circulación horizontal y hall (corredores, galería, vestíbulos)</t>
        </is>
      </c>
      <c r="D53" s="3" t="inlineStr">
        <is>
          <t>Circulación y hall</t>
        </is>
      </c>
      <c r="E53" s="3" t="n"/>
      <c r="F53" s="5" t="n"/>
      <c r="G53" s="5" t="n">
        <v>56.6</v>
      </c>
      <c r="H53" s="3" t="n"/>
      <c r="I53" s="3" t="n"/>
      <c r="J53" s="3" t="inlineStr">
        <is>
          <t>Sale de la planta dibujada</t>
        </is>
      </c>
    </row>
    <row r="54">
      <c r="A54" s="3" t="inlineStr">
        <is>
          <t>Piso 3</t>
        </is>
      </c>
      <c r="B54" s="4" t="n">
        <v>6</v>
      </c>
      <c r="C54" s="3" t="inlineStr">
        <is>
          <t>Muros, columnas y tolerancia</t>
        </is>
      </c>
      <c r="D54" s="3" t="inlineStr">
        <is>
          <t>Muros y tolerancia</t>
        </is>
      </c>
      <c r="E54" s="3" t="n"/>
      <c r="F54" s="5" t="n"/>
      <c r="G54" s="5">
        <f>MAX(0,ROUND(G55-G52-G53,1))</f>
        <v/>
      </c>
      <c r="H54" s="3" t="n"/>
      <c r="I54" s="3" t="n"/>
      <c r="J54" s="3" t="inlineStr">
        <is>
          <t>Las áreas se miden a ejes de muros</t>
        </is>
      </c>
    </row>
    <row r="55">
      <c r="A55" s="6" t="inlineStr">
        <is>
          <t>Piso 3</t>
        </is>
      </c>
      <c r="B55" s="13" t="n">
        <v>6</v>
      </c>
      <c r="C55" s="6" t="inlineStr">
        <is>
          <t>ÁREA BRUTA DEL NIVEL (huella)</t>
        </is>
      </c>
      <c r="D55" s="6" t="n"/>
      <c r="E55" s="6" t="n"/>
      <c r="F55" s="7" t="n"/>
      <c r="G55" s="7" t="n">
        <v>187.5</v>
      </c>
      <c r="H55" s="6" t="n"/>
      <c r="I55" s="6" t="n"/>
      <c r="J55" s="6" t="n"/>
    </row>
    <row r="57">
      <c r="A57" s="8" t="inlineStr">
        <is>
          <t>PISO 4 · Aula de idiomas 3 y sala de práctica</t>
        </is>
      </c>
      <c r="B57" s="9" t="n">
        <v>9</v>
      </c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3" t="inlineStr">
        <is>
          <t>Piso 4</t>
        </is>
      </c>
      <c r="B58" s="4" t="n">
        <v>9</v>
      </c>
      <c r="C58" s="3" t="inlineStr">
        <is>
          <t>Aula de idiomas (30 al.)</t>
        </is>
      </c>
      <c r="D58" s="3" t="inlineStr">
        <is>
          <t>Aulas</t>
        </is>
      </c>
      <c r="E58" s="3" t="n">
        <v>1</v>
      </c>
      <c r="F58" s="5" t="n">
        <v>50</v>
      </c>
      <c r="G58" s="5">
        <f>E58*F58</f>
        <v/>
      </c>
      <c r="H58" s="3" t="n">
        <v>30</v>
      </c>
      <c r="I58" s="3" t="inlineStr">
        <is>
          <t>Natural</t>
        </is>
      </c>
      <c r="J58" s="3" t="inlineStr">
        <is>
          <t>1.5 m²/alumno</t>
        </is>
      </c>
    </row>
    <row r="59">
      <c r="A59" s="3" t="inlineStr">
        <is>
          <t>Piso 4</t>
        </is>
      </c>
      <c r="B59" s="4" t="n">
        <v>9</v>
      </c>
      <c r="C59" s="3" t="inlineStr">
        <is>
          <t>Sala de práctica de conversación</t>
        </is>
      </c>
      <c r="D59" s="3" t="inlineStr">
        <is>
          <t>Aulas</t>
        </is>
      </c>
      <c r="E59" s="3" t="n">
        <v>1</v>
      </c>
      <c r="F59" s="5" t="n">
        <v>30</v>
      </c>
      <c r="G59" s="5">
        <f>E59*F59</f>
        <v/>
      </c>
      <c r="H59" s="3" t="n">
        <v>15</v>
      </c>
      <c r="I59" s="3" t="inlineStr"/>
      <c r="J59" s="3" t="inlineStr"/>
    </row>
    <row r="60">
      <c r="A60" s="3" t="inlineStr">
        <is>
          <t>Piso 4</t>
        </is>
      </c>
      <c r="B60" s="4" t="n">
        <v>9</v>
      </c>
      <c r="C60" s="3" t="inlineStr">
        <is>
          <t>Depósito</t>
        </is>
      </c>
      <c r="D60" s="3" t="inlineStr">
        <is>
          <t>Depósitos</t>
        </is>
      </c>
      <c r="E60" s="3" t="n">
        <v>1</v>
      </c>
      <c r="F60" s="5" t="n">
        <v>10</v>
      </c>
      <c r="G60" s="5">
        <f>E60*F60</f>
        <v/>
      </c>
      <c r="H60" s="3" t="n"/>
      <c r="I60" s="3" t="inlineStr"/>
      <c r="J60" s="3" t="inlineStr"/>
    </row>
    <row r="61">
      <c r="A61" s="3" t="inlineStr">
        <is>
          <t>Piso 4</t>
        </is>
      </c>
      <c r="B61" s="4" t="n">
        <v>9</v>
      </c>
      <c r="C61" s="3" t="inlineStr">
        <is>
          <t>SS.HH. hombres / mujeres / accesible</t>
        </is>
      </c>
      <c r="D61" s="3" t="inlineStr">
        <is>
          <t>SS.HH. y ductos</t>
        </is>
      </c>
      <c r="E61" s="3" t="n">
        <v>1</v>
      </c>
      <c r="F61" s="5" t="n">
        <v>14</v>
      </c>
      <c r="G61" s="5">
        <f>E61*F61</f>
        <v/>
      </c>
      <c r="H61" s="3" t="n"/>
      <c r="I61" s="3" t="inlineStr"/>
      <c r="J61" s="3" t="inlineStr">
        <is>
          <t>Según aforo del nivel</t>
        </is>
      </c>
    </row>
    <row r="62">
      <c r="A62" s="3" t="inlineStr">
        <is>
          <t>Piso 4</t>
        </is>
      </c>
      <c r="B62" s="4" t="n">
        <v>9</v>
      </c>
      <c r="C62" s="3" t="inlineStr">
        <is>
          <t>Ductos de instalaciones y ventilación</t>
        </is>
      </c>
      <c r="D62" s="3" t="inlineStr">
        <is>
          <t>SS.HH. y ductos</t>
        </is>
      </c>
      <c r="E62" s="3" t="n">
        <v>1</v>
      </c>
      <c r="F62" s="5" t="n">
        <v>4</v>
      </c>
      <c r="G62" s="5">
        <f>E62*F62</f>
        <v/>
      </c>
      <c r="H62" s="3" t="n"/>
      <c r="I62" s="3" t="inlineStr"/>
      <c r="J62" s="3" t="inlineStr"/>
    </row>
    <row r="63">
      <c r="A63" s="3" t="inlineStr">
        <is>
          <t>Piso 4</t>
        </is>
      </c>
      <c r="B63" s="4" t="n">
        <v>9</v>
      </c>
      <c r="C63" s="3" t="inlineStr">
        <is>
          <t>Ascensor accesible (cabina camilla)</t>
        </is>
      </c>
      <c r="D63" s="3" t="inlineStr">
        <is>
          <t>Escalera y ascensor</t>
        </is>
      </c>
      <c r="E63" s="3" t="n">
        <v>1</v>
      </c>
      <c r="F63" s="5" t="n">
        <v>6</v>
      </c>
      <c r="G63" s="5">
        <f>E63*F63</f>
        <v/>
      </c>
      <c r="H63" s="3" t="n"/>
      <c r="I63" s="3" t="inlineStr"/>
      <c r="J63" s="3" t="inlineStr">
        <is>
          <t>Acceso universal (RNE A.120)</t>
        </is>
      </c>
    </row>
    <row r="64">
      <c r="A64" s="3" t="inlineStr">
        <is>
          <t>Piso 4</t>
        </is>
      </c>
      <c r="B64" s="4" t="n">
        <v>9</v>
      </c>
      <c r="C64" s="3" t="inlineStr">
        <is>
          <t>Escalera de evacuación protegida</t>
        </is>
      </c>
      <c r="D64" s="3" t="inlineStr">
        <is>
          <t>Escalera y ascensor</t>
        </is>
      </c>
      <c r="E64" s="3" t="n">
        <v>1</v>
      </c>
      <c r="F64" s="5" t="n">
        <v>16</v>
      </c>
      <c r="G64" s="5">
        <f>E64*F64</f>
        <v/>
      </c>
      <c r="H64" s="3" t="n"/>
      <c r="I64" s="3" t="inlineStr"/>
      <c r="J64" s="3" t="inlineStr">
        <is>
          <t>Protegida, ancho libre ≥ 1.20 m</t>
        </is>
      </c>
    </row>
    <row r="65">
      <c r="A65" s="10" t="inlineStr">
        <is>
          <t>Piso 4</t>
        </is>
      </c>
      <c r="B65" s="11" t="n">
        <v>9</v>
      </c>
      <c r="C65" s="10" t="inlineStr">
        <is>
          <t>Subtotal área útil (techada)</t>
        </is>
      </c>
      <c r="D65" s="10" t="n"/>
      <c r="E65" s="10" t="n"/>
      <c r="F65" s="12" t="n"/>
      <c r="G65" s="12">
        <f>SUM(G58:G64)</f>
        <v/>
      </c>
      <c r="H65" s="10">
        <f>SUM(H58:H64)</f>
        <v/>
      </c>
      <c r="I65" s="10" t="n"/>
      <c r="J65" s="10" t="n"/>
    </row>
    <row r="66">
      <c r="A66" s="3" t="inlineStr">
        <is>
          <t>Piso 4</t>
        </is>
      </c>
      <c r="B66" s="4" t="n">
        <v>9</v>
      </c>
      <c r="C66" s="3" t="inlineStr">
        <is>
          <t>Circulación horizontal y hall (corredores, galería, vestíbulos)</t>
        </is>
      </c>
      <c r="D66" s="3" t="inlineStr">
        <is>
          <t>Circulación y hall</t>
        </is>
      </c>
      <c r="E66" s="3" t="n"/>
      <c r="F66" s="5" t="n"/>
      <c r="G66" s="5" t="n">
        <v>56.6</v>
      </c>
      <c r="H66" s="3" t="n"/>
      <c r="I66" s="3" t="n"/>
      <c r="J66" s="3" t="inlineStr">
        <is>
          <t>Sale de la planta dibujada</t>
        </is>
      </c>
    </row>
    <row r="67">
      <c r="A67" s="3" t="inlineStr">
        <is>
          <t>Piso 4</t>
        </is>
      </c>
      <c r="B67" s="4" t="n">
        <v>9</v>
      </c>
      <c r="C67" s="3" t="inlineStr">
        <is>
          <t>Muros, columnas y tolerancia</t>
        </is>
      </c>
      <c r="D67" s="3" t="inlineStr">
        <is>
          <t>Muros y tolerancia</t>
        </is>
      </c>
      <c r="E67" s="3" t="n"/>
      <c r="F67" s="5" t="n"/>
      <c r="G67" s="5">
        <f>MAX(0,ROUND(G68-G65-G66,1))</f>
        <v/>
      </c>
      <c r="H67" s="3" t="n"/>
      <c r="I67" s="3" t="n"/>
      <c r="J67" s="3" t="inlineStr">
        <is>
          <t>Las áreas se miden a ejes de muros</t>
        </is>
      </c>
    </row>
    <row r="68">
      <c r="A68" s="6" t="inlineStr">
        <is>
          <t>Piso 4</t>
        </is>
      </c>
      <c r="B68" s="13" t="n">
        <v>9</v>
      </c>
      <c r="C68" s="6" t="inlineStr">
        <is>
          <t>ÁREA BRUTA DEL NIVEL (huella)</t>
        </is>
      </c>
      <c r="D68" s="6" t="n"/>
      <c r="E68" s="6" t="n"/>
      <c r="F68" s="7" t="n"/>
      <c r="G68" s="7" t="n">
        <v>187.5</v>
      </c>
      <c r="H68" s="6" t="n"/>
      <c r="I68" s="6" t="n"/>
      <c r="J68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80" customWidth="1" min="3" max="3"/>
    <col width="60" customWidth="1" min="4" max="4"/>
  </cols>
  <sheetData>
    <row r="1">
      <c r="A1" s="1" t="inlineStr">
        <is>
          <t>PROGRAMA MÍNIMO SOLICITADO · dónde se resuelve</t>
        </is>
      </c>
    </row>
    <row r="3">
      <c r="A3" s="14" t="inlineStr">
        <is>
          <t>Requisito</t>
        </is>
      </c>
      <c r="B3" s="14" t="inlineStr">
        <is>
          <t>Estado</t>
        </is>
      </c>
      <c r="C3" s="14" t="inlineStr">
        <is>
          <t>Cómo se resuelve</t>
        </is>
      </c>
      <c r="D3" s="14" t="inlineStr">
        <is>
          <t>Niveles</t>
        </is>
      </c>
    </row>
    <row r="4">
      <c r="A4" s="15" t="inlineStr">
        <is>
          <t>3 aulas teóricas</t>
        </is>
      </c>
      <c r="B4" s="15" t="inlineStr">
        <is>
          <t>Incluido</t>
        </is>
      </c>
      <c r="C4" s="15" t="inlineStr">
        <is>
          <t>3 aulas de 60 m² para 40 alumnos</t>
        </is>
      </c>
      <c r="D4" s="15" t="inlineStr">
        <is>
          <t>E1 · Piso 6</t>
        </is>
      </c>
    </row>
    <row r="5">
      <c r="A5" s="15" t="inlineStr">
        <is>
          <t>3 aulas de laboratorio de 40</t>
        </is>
      </c>
      <c r="B5" s="15" t="inlineStr">
        <is>
          <t>Incluido</t>
        </is>
      </c>
      <c r="C5" s="15" t="inlineStr">
        <is>
          <t>3 laboratorios de 200 m² (5 m² por alumno), con ventilación natural y extracción</t>
        </is>
      </c>
      <c r="D5" s="15" t="inlineStr">
        <is>
          <t>E1 · Piso 2, E1 · Piso 3, E1 · Piso 4</t>
        </is>
      </c>
    </row>
    <row r="6">
      <c r="A6" s="15" t="inlineStr">
        <is>
          <t>3 aulas de idiomas</t>
        </is>
      </c>
      <c r="B6" s="15" t="inlineStr">
        <is>
          <t>Incluido</t>
        </is>
      </c>
      <c r="C6" s="15" t="inlineStr">
        <is>
          <t>Una por piso, con sala de práctica y depósito</t>
        </is>
      </c>
      <c r="D6" s="15" t="inlineStr">
        <is>
          <t>E2 · Piso 2, E2 · Piso 3, E2 · Piso 4</t>
        </is>
      </c>
    </row>
    <row r="7">
      <c r="A7" s="15" t="inlineStr">
        <is>
          <t>1 aula taller de 40</t>
        </is>
      </c>
      <c r="B7" s="15" t="inlineStr">
        <is>
          <t>Incluido</t>
        </is>
      </c>
      <c r="C7" s="15" t="inlineStr">
        <is>
          <t>Con 5 mesas de 1.2 × 1.5 × 1.8 m, ecran, oficina al lado y depósito</t>
        </is>
      </c>
      <c r="D7" s="15" t="inlineStr">
        <is>
          <t>E1 · Piso 5</t>
        </is>
      </c>
    </row>
    <row r="8">
      <c r="A8" s="15" t="inlineStr">
        <is>
          <t>1 aula BIM y aula de cómputo</t>
        </is>
      </c>
      <c r="B8" s="15" t="inlineStr">
        <is>
          <t>Incluido</t>
        </is>
      </c>
      <c r="C8" s="15" t="inlineStr">
        <is>
          <t>Aula de cómputo en el piso 2 y aula BIM en el piso 3, cerca de los laboratorios</t>
        </is>
      </c>
      <c r="D8" s="15" t="inlineStr">
        <is>
          <t>E1 · Piso 2, E1 · Piso 3</t>
        </is>
      </c>
    </row>
    <row r="9">
      <c r="A9" s="15" t="inlineStr">
        <is>
          <t>Vestidor y 1 ducha por cada 60</t>
        </is>
      </c>
      <c r="B9" s="15" t="inlineStr">
        <is>
          <t>Incluido</t>
        </is>
      </c>
      <c r="C9" s="15" t="inlineStr">
        <is>
          <t>Un vestidor con 2 duchas junto a cada laboratorio</t>
        </is>
      </c>
      <c r="D9" s="15" t="inlineStr">
        <is>
          <t>E1 · Piso 2, E1 · Piso 3, E1 · Piso 4</t>
        </is>
      </c>
    </row>
    <row r="10">
      <c r="A10" s="15" t="inlineStr">
        <is>
          <t>Pisos de servidumbre</t>
        </is>
      </c>
      <c r="B10" s="15" t="inlineStr">
        <is>
          <t>Incluido</t>
        </is>
      </c>
      <c r="C10" s="15" t="inlineStr">
        <is>
          <t>Sótanos y azotea del Edificio 1, y sótano del Edificio 2</t>
        </is>
      </c>
      <c r="D10" s="15" t="inlineStr">
        <is>
          <t>E1 · Sótano 2, E1 · Sótano 1, E1 · Azotea técnica, E2 · Sótano 1</t>
        </is>
      </c>
    </row>
    <row r="11">
      <c r="A11" s="15" t="inlineStr">
        <is>
          <t>1.er piso: cafetería, sala de estudio y hall</t>
        </is>
      </c>
      <c r="B11" s="15" t="inlineStr">
        <is>
          <t>Incluido</t>
        </is>
      </c>
      <c r="C11" s="15" t="inlineStr">
        <is>
          <t>Cafetería en el Edificio 2; sala de estudio y hall en el Edificio 1</t>
        </is>
      </c>
      <c r="D11" s="15" t="inlineStr">
        <is>
          <t>E2 · Piso 1, E1 · Piso 1</t>
        </is>
      </c>
    </row>
    <row r="12">
      <c r="A12" s="15" t="inlineStr">
        <is>
          <t>2 sótanos con estacionamiento</t>
        </is>
      </c>
      <c r="B12" s="15" t="inlineStr">
        <is>
          <t>Incluido</t>
        </is>
      </c>
      <c r="C12" s="15" t="inlineStr">
        <is>
          <t>2 sótanos en el Edificio 1 con 18 plazas. Se pueden ampliar bajo el área libre</t>
        </is>
      </c>
      <c r="D12" s="15" t="inlineStr">
        <is>
          <t>E1 · Sótano 2, E1 · Sótano 1</t>
        </is>
      </c>
    </row>
    <row r="13">
      <c r="A13" s="15" t="inlineStr">
        <is>
          <t>Impresoras 2D y 3D en los depósitos</t>
        </is>
      </c>
      <c r="B13" s="15" t="inlineStr">
        <is>
          <t>Incluido</t>
        </is>
      </c>
      <c r="C13" s="15" t="inlineStr">
        <is>
          <t>En el depósito del piso 4 y en el depósito del taller</t>
        </is>
      </c>
      <c r="D13" s="15" t="inlineStr">
        <is>
          <t>E1 · Piso 4, E1 · Piso 5</t>
        </is>
      </c>
    </row>
    <row r="14">
      <c r="A14" s="15" t="inlineStr">
        <is>
          <t>Aula magna en el último nivel, 60 personas</t>
        </is>
      </c>
      <c r="B14" s="15" t="inlineStr">
        <is>
          <t>Incluido</t>
        </is>
      </c>
      <c r="C14" s="15" t="inlineStr">
        <is>
          <t>Piso 7 del Edificio 1, con foyer, escenario y terraza</t>
        </is>
      </c>
      <c r="D14" s="15" t="inlineStr">
        <is>
          <t>E1 · Piso 7</t>
        </is>
      </c>
    </row>
    <row r="15">
      <c r="A15" s="15" t="inlineStr">
        <is>
          <t>Ventilación en aulas magnas y laboratorios</t>
        </is>
      </c>
      <c r="B15" s="15" t="inlineStr">
        <is>
          <t>Incluido</t>
        </is>
      </c>
      <c r="C15" s="15" t="inlineStr">
        <is>
          <t>Ventanas en fachada más extracción mecánica por el ducto del núcleo</t>
        </is>
      </c>
      <c r="D15" s="15" t="inlineStr">
        <is>
          <t>E1 · Piso 2, E1 · Piso 3, E1 · Piso 4, E1 · Piso 7</t>
        </is>
      </c>
    </row>
    <row r="16">
      <c r="A16" s="15" t="inlineStr">
        <is>
          <t>Verificar con coordenadas UTM</t>
        </is>
      </c>
      <c r="B16" s="15" t="inlineStr">
        <is>
          <t>Pendiente</t>
        </is>
      </c>
      <c r="C16" s="15" t="inlineStr">
        <is>
          <t>Pendiente: faltan las coordenadas reales del lote (ver notas)</t>
        </is>
      </c>
      <c r="D16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SUPUESTOS Y CAMBIOS</t>
        </is>
      </c>
    </row>
    <row r="2">
      <c r="A2" t="inlineStr"/>
    </row>
    <row r="3">
      <c r="A3" s="16" t="inlineStr">
        <is>
          <t>Geometría</t>
        </is>
      </c>
    </row>
    <row r="4">
      <c r="A4" t="inlineStr">
        <is>
          <t>Las huellas salen de las capturas del modelo: Edificio 1 de 403.4 m² y Edificio 2 de 187.5 m². Medidas usadas: 26.16 × 15.42 m y 18.94 × 9.90 m (proporción rectangular de esas plantas).</t>
        </is>
      </c>
    </row>
    <row r="5">
      <c r="A5" t="inlineStr">
        <is>
          <t>Cada nivel está dibujado en el archivo HTML «distribucion_por_niveles_FIC_UNI.html»; este Excel tiene las mismas áreas.</t>
        </is>
      </c>
    </row>
    <row r="6">
      <c r="A6" t="inlineStr">
        <is>
          <t>Las áreas se miden a ejes de muros: el espesor de los muros interiores queda dentro de cada ambiente.</t>
        </is>
      </c>
    </row>
    <row r="7">
      <c r="A7" t="inlineStr">
        <is>
          <t>El núcleo (2 escaleras en el Edificio 1, 1 en el Edificio 2, ascensor, SS.HH. y ductos) está en la misma posición en todos los niveles.</t>
        </is>
      </c>
    </row>
    <row r="8">
      <c r="A8" t="inlineStr"/>
    </row>
    <row r="9">
      <c r="A9" s="16" t="inlineStr">
        <is>
          <t>Criterios</t>
        </is>
      </c>
    </row>
    <row r="10">
      <c r="A10" t="inlineStr">
        <is>
          <t>Aula 1.5 m² por alumno; laboratorio y taller 5 m² por alumno (RNE A.040, confirmar versión vigente). Cómputo y BIM 2 m² por PC.</t>
        </is>
      </c>
    </row>
    <row r="11">
      <c r="A11" t="inlineStr">
        <is>
          <t>Ducha: 1 por cada 60 alumnos; se dibujan 2 por vestidor (una por lado).</t>
        </is>
      </c>
    </row>
    <row r="12">
      <c r="A12" t="inlineStr">
        <is>
          <t>Mesas del taller (1.2 × 1.5 × 1.8 m): dimensiones en planta por confirmar; se dibujan de 1.8 × 1.5 m.</t>
        </is>
      </c>
    </row>
    <row r="13">
      <c r="A13" t="inlineStr">
        <is>
          <t>Laboratorios y aula magna: ventanas en fachada más extracción mecánica por el ducto del núcleo.</t>
        </is>
      </c>
    </row>
    <row r="14">
      <c r="A14" t="inlineStr">
        <is>
          <t>Coordenadas UTM zona 18S (WGS84), referenciales del campus: E 276,977 / N 8,670,117. Faltan las coordenadas reales del lote y la orientación al norte.</t>
        </is>
      </c>
    </row>
    <row r="15">
      <c r="A15" t="inlineStr"/>
    </row>
    <row r="16">
      <c r="A16" s="16" t="inlineStr">
        <is>
          <t>Cambios respecto a la versión anterior de este Excel</t>
        </is>
      </c>
    </row>
    <row r="17">
      <c r="A17" t="inlineStr">
        <is>
          <t>Huellas: 403.4 y 187.5 m² (antes 403 y 185).</t>
        </is>
      </c>
    </row>
    <row r="18">
      <c r="A18" t="inlineStr">
        <is>
          <t>El saldo de cada nivel se separó en «Circulación horizontal y hall» (sale de la planta) y «Muros, columnas y tolerancia». Antes todo era saldo.</t>
        </is>
      </c>
    </row>
    <row r="19">
      <c r="A19" t="inlineStr">
        <is>
          <t>El hall de ascensor de 15 m² pasó a formar parte de la circulación horizontal.</t>
        </is>
      </c>
    </row>
    <row r="20">
      <c r="A20" t="inlineStr">
        <is>
          <t>Vestidor con duchas: 20 → 30 m². Sala de docentes (piso 5): 40 → 30 m². Oficina de coordinación (piso 1): 40 → 30 m².</t>
        </is>
      </c>
    </row>
    <row r="21">
      <c r="A21" t="inlineStr">
        <is>
          <t>Piso 1 del Edificio 1: sala de estudio 100 → 120 m² (60 personas); hall de ingreso 90 → 88 m²; recepción de 15 m² con zona de espera.</t>
        </is>
      </c>
    </row>
    <row r="22">
      <c r="A22" t="inlineStr">
        <is>
          <t>Piso 7 del Edificio 1: terraza 120 → 100 m²; se agregó un camerino de 15 m² junto al escenario.</t>
        </is>
      </c>
    </row>
    <row r="23">
      <c r="A23" t="inlineStr">
        <is>
          <t>Sótanos del Edificio 1: el estacionamiento queda en 222.3 m² con 9 plazas por nivel (antes 190 m² y 11); depósito general del sótano 1: 40 → 25 m².</t>
        </is>
      </c>
    </row>
    <row r="24">
      <c r="A24" t="inlineStr">
        <is>
          <t>Azotea: «tanque elevado y equipos» se separó en tanque (60 m²) y equipos de extracción (40 m²).</t>
        </is>
      </c>
    </row>
    <row r="25">
      <c r="A25" t="inlineStr">
        <is>
          <t>Edificio 2: el sótano pasó de estacionamiento con rampa a piso de servidumbre (depósito, bombas, comunicaciones y residuos) porque 187 m² no dan para maniobrar; el estacionamiento queda en el Edificio 1.</t>
        </is>
      </c>
    </row>
    <row r="26">
      <c r="A26" t="inlineStr">
        <is>
          <t>Edificio 2, piso 1: cafetería de 70 m², cocina de 20 m² y almacén de 14 m²; hall de acceso y ascensor de 30 m² (antes 20 + 10).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2026-09-30T21:56:48Z</dcterms:created>
  <dcterms:modified xsi:type="dcterms:W3CDTF">2026-09-30T21:56:48Z</dcterms:modified>
</cp:coreProperties>
</file>